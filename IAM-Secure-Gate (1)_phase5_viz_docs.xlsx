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Phase 1 - Detection" sheetId="2" state="visible" r:id="rId2"/>
    <sheet xmlns:r="http://schemas.openxmlformats.org/officeDocument/2006/relationships" name="Phase 2 - Remediation" sheetId="3" state="visible" r:id="rId3"/>
    <sheet xmlns:r="http://schemas.openxmlformats.org/officeDocument/2006/relationships" name="Phase 3 - IaC Gate" sheetId="4" state="visible" r:id="rId4"/>
    <sheet xmlns:r="http://schemas.openxmlformats.org/officeDocument/2006/relationships" name="Phase 4 - Metrics Loop" sheetId="5" state="visible" r:id="rId5"/>
    <sheet xmlns:r="http://schemas.openxmlformats.org/officeDocument/2006/relationships" name="Phase 5 - Visualization &amp; Docs" sheetId="6" state="visible" r:id="rId6"/>
    <sheet xmlns:r="http://schemas.openxmlformats.org/officeDocument/2006/relationships" name="Success Metrics" sheetId="7" state="visible" r:id="rId7"/>
    <sheet xmlns:r="http://schemas.openxmlformats.org/officeDocument/2006/relationships" name="Attack Scenarios" sheetId="8" state="visible" r:id="rId8"/>
    <sheet xmlns:r="http://schemas.openxmlformats.org/officeDocument/2006/relationships" name="Budget Tracker" sheetId="9" state="visible" r:id="rId9"/>
    <sheet xmlns:r="http://schemas.openxmlformats.org/officeDocument/2006/relationships" name="Technology Stack" sheetId="10" state="visible" r:id="rId10"/>
    <sheet xmlns:r="http://schemas.openxmlformats.org/officeDocument/2006/relationships" name="Risks &amp; Mitigations" sheetId="11" state="visible" r:id="rId11"/>
    <sheet xmlns:r="http://schemas.openxmlformats.org/officeDocument/2006/relationships" name="Deployment Details" sheetId="12" state="visible" r:id="rId12"/>
    <sheet xmlns:r="http://schemas.openxmlformats.org/officeDocument/2006/relationships" name="Next Steps" sheetId="13" state="visible" r:id="rId1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Cambria"/>
      <charset val="1"/>
      <b val="1"/>
      <color rgb="FF1F4E78"/>
      <sz val="14"/>
    </font>
    <font>
      <name val="Cambria"/>
      <charset val="1"/>
      <b val="1"/>
      <color rgb="FFFFFFFF"/>
      <sz val="11"/>
    </font>
    <font>
      <name val="Cambria"/>
      <charset val="1"/>
      <b val="1"/>
      <sz val="11"/>
    </font>
    <font>
      <name val="Cambria"/>
      <charset val="1"/>
      <b val="1"/>
      <color rgb="FF0070C0"/>
      <sz val="12"/>
    </font>
    <font>
      <name val="Cambria"/>
      <charset val="1"/>
      <i val="1"/>
      <color rgb="FF008000"/>
      <sz val="11"/>
    </font>
    <font>
      <name val="Cambria"/>
      <charset val="1"/>
      <i val="1"/>
      <color rgb="FFFF6600"/>
      <sz val="11"/>
    </font>
    <font>
      <name val="Cambria"/>
      <charset val="1"/>
      <b val="1"/>
      <color rgb="FFFF0000"/>
      <sz val="11"/>
    </font>
    <font>
      <name val="Cambria"/>
      <charset val="1"/>
      <b val="1"/>
      <color rgb="FF1F4E78"/>
      <sz val="11"/>
    </font>
    <font>
      <name val="Cambria"/>
      <charset val="1"/>
      <b val="1"/>
      <color rgb="FF008000"/>
      <sz val="11"/>
    </font>
    <font>
      <name val="Cambria"/>
      <charset val="1"/>
      <b val="1"/>
      <color rgb="FFFF6600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  <fill>
      <patternFill patternType="solid">
        <fgColor rgb="FFF4B084"/>
        <bgColor rgb="FFFF99CC"/>
      </patternFill>
    </fill>
    <fill>
      <patternFill patternType="solid">
        <fgColor rgb="FFFFE699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Normal="100" workbookViewId="0">
      <selection activeCell="A1" sqref="A1"/>
    </sheetView>
  </sheetViews>
  <sheetFormatPr baseColWidth="8" defaultColWidth="8.7109375" defaultRowHeight="15"/>
  <cols>
    <col width="30" customWidth="1" min="1" max="6"/>
  </cols>
  <sheetData>
    <row r="1" ht="17.25" customHeight="1">
      <c r="A1" s="11" t="inlineStr">
        <is>
          <t>IAM-Secure-Gate: Intelligent IAM Misconfiguration Auditor &amp; Remediation Pipeline</t>
        </is>
      </c>
    </row>
    <row r="3" ht="15" customHeight="1">
      <c r="A3" s="12" t="inlineStr">
        <is>
          <t>Project Information</t>
        </is>
      </c>
    </row>
    <row r="4" ht="15" customHeight="1">
      <c r="A4" s="17" t="inlineStr">
        <is>
          <t>Student:</t>
        </is>
      </c>
      <c r="B4" t="inlineStr">
        <is>
          <t>Roko Skugor</t>
        </is>
      </c>
    </row>
    <row r="5" ht="15" customHeight="1">
      <c r="A5" s="17" t="inlineStr">
        <is>
          <t>Supervisor:</t>
        </is>
      </c>
      <c r="B5" t="inlineStr">
        <is>
          <t>Dariusz Terefenko</t>
        </is>
      </c>
    </row>
    <row r="6" ht="15" customHeight="1">
      <c r="A6" s="17" t="inlineStr">
        <is>
          <t>Programme:</t>
        </is>
      </c>
      <c r="B6" t="inlineStr">
        <is>
          <t>TU865</t>
        </is>
      </c>
    </row>
    <row r="7" ht="15" customHeight="1">
      <c r="A7" s="17" t="inlineStr">
        <is>
          <t>Repository:</t>
        </is>
      </c>
      <c r="B7" t="inlineStr">
        <is>
          <t>https://github.com/steins-r-gate/IaC-Secure-Gate</t>
        </is>
      </c>
    </row>
    <row r="8" ht="15" customHeight="1">
      <c r="A8" s="17" t="inlineStr">
        <is>
          <t>Duration:</t>
        </is>
      </c>
      <c r="B8" t="inlineStr">
        <is>
          <t>20 weeks (5 phases x 4 weeks)</t>
        </is>
      </c>
    </row>
    <row r="9" ht="15" customHeight="1">
      <c r="A9" s="17" t="inlineStr">
        <is>
          <t>Budget:</t>
        </is>
      </c>
      <c r="B9" t="inlineStr">
        <is>
          <t>&lt;€15/month</t>
        </is>
      </c>
    </row>
    <row r="10" ht="15" customHeight="1">
      <c r="A10" s="17" t="inlineStr">
        <is>
          <t>Current Spend:</t>
        </is>
      </c>
      <c r="B10" t="inlineStr">
        <is>
          <t>€2.72/month (KMS €0.90 + S3 €0.02 + CloudTrail €1.80)</t>
        </is>
      </c>
    </row>
    <row r="11" ht="15" customHeight="1">
      <c r="A11" s="17" t="inlineStr">
        <is>
          <t>Problem:</t>
        </is>
      </c>
      <c r="B11" t="inlineStr">
        <is>
          <t>68% of breaches involve IAM misconfigurations (Verizon DBIR 2024)</t>
        </is>
      </c>
    </row>
    <row r="12" ht="15" customHeight="1">
      <c r="A12" s="17" t="inlineStr">
        <is>
          <t>Solution:</t>
        </is>
      </c>
      <c r="B12" t="inlineStr">
        <is>
          <t>Automated closed-loop security: prevent + detect + remediate</t>
        </is>
      </c>
    </row>
    <row r="13" ht="15" customHeight="1">
      <c r="A13" s="17" t="inlineStr">
        <is>
          <t>Status:</t>
        </is>
      </c>
      <c r="B13" t="inlineStr">
        <is>
          <t>Phase 1 - Week 3 (Detection Baseline ~35% complete)</t>
        </is>
      </c>
    </row>
    <row r="16" ht="15" customHeight="1">
      <c r="A16" s="13" t="inlineStr">
        <is>
          <t>5 Core Objectives</t>
        </is>
      </c>
    </row>
    <row r="17" ht="15" customHeight="1">
      <c r="A17" s="17" t="inlineStr">
        <is>
          <t>Obj 1:</t>
        </is>
      </c>
      <c r="B17" t="inlineStr">
        <is>
          <t>AWS-native detection baseline (CloudTrail, Config, IAM Analyzer, Security Hub) - MTTD &lt;5min</t>
        </is>
      </c>
    </row>
    <row r="18" ht="15" customHeight="1">
      <c r="A18" s="17" t="inlineStr">
        <is>
          <t>Obj 2:</t>
        </is>
      </c>
      <c r="B18" t="inlineStr">
        <is>
          <t>Automated remediation via EventBridge→Lambda for 3+ IAM issues with approval workflow</t>
        </is>
      </c>
    </row>
    <row r="19" ht="15" customHeight="1">
      <c r="A19" s="17" t="inlineStr">
        <is>
          <t>Obj 3:</t>
        </is>
      </c>
      <c r="B19" t="inlineStr">
        <is>
          <t>Shift-left IaC security gate blocking PRs with Checkov/OPA integration</t>
        </is>
      </c>
    </row>
    <row r="20" ht="15" customHeight="1">
      <c r="A20" s="17" t="inlineStr">
        <is>
          <t>Obj 4:</t>
        </is>
      </c>
      <c r="B20" t="inlineStr">
        <is>
          <t>Feedback loop auto-generating OPA policies from runtime findings</t>
        </is>
      </c>
    </row>
    <row r="21" ht="15" customHeight="1">
      <c r="A21" s="17" t="inlineStr">
        <is>
          <t>Obj 5:</t>
        </is>
      </c>
      <c r="B21" t="inlineStr">
        <is>
          <t>Dashboards and documentation pack for MTTD/MTTR, compliance trends, and system health</t>
        </is>
      </c>
    </row>
    <row r="24" ht="15" customHeight="1">
      <c r="A24" s="12" t="inlineStr">
        <is>
          <t>Phase Summary</t>
        </is>
      </c>
    </row>
    <row r="25" ht="15" customHeight="1">
      <c r="A25" s="3" t="inlineStr">
        <is>
          <t>Phase</t>
        </is>
      </c>
      <c r="B25" s="3" t="inlineStr">
        <is>
          <t>Weeks</t>
        </is>
      </c>
      <c r="C25" s="3" t="inlineStr">
        <is>
          <t>Status</t>
        </is>
      </c>
      <c r="D25" s="3" t="inlineStr">
        <is>
          <t>Progress</t>
        </is>
      </c>
      <c r="E25" s="3" t="inlineStr">
        <is>
          <t>Milestone</t>
        </is>
      </c>
      <c r="F25" s="3" t="inlineStr">
        <is>
          <t>Key Deliverables</t>
        </is>
      </c>
    </row>
    <row r="26" ht="15" customHeight="1">
      <c r="A26" t="inlineStr">
        <is>
          <t>Phase 1: AWS Detection Baseline</t>
        </is>
      </c>
      <c r="B26" t="inlineStr">
        <is>
          <t>1-4</t>
        </is>
      </c>
      <c r="C26" t="inlineStr">
        <is>
          <t>In Progress</t>
        </is>
      </c>
      <c r="D26" t="inlineStr">
        <is>
          <t>45%</t>
        </is>
      </c>
      <c r="E26" t="inlineStr">
        <is>
          <t>Week 4: Detection Baseline Complete</t>
        </is>
      </c>
      <c r="F26" t="inlineStr">
        <is>
          <t>KMS ✓, S3 ✓, CloudTrail ✓ | Remaining: Config, IAM Analyzer, Security Hub</t>
        </is>
      </c>
    </row>
    <row r="27" ht="15" customHeight="1">
      <c r="A27" t="inlineStr">
        <is>
          <t>Phase 2: Basic Remediation</t>
        </is>
      </c>
      <c r="B27" t="inlineStr">
        <is>
          <t>5-8</t>
        </is>
      </c>
      <c r="C27" t="inlineStr">
        <is>
          <t>Not Started</t>
        </is>
      </c>
      <c r="D27" t="inlineStr">
        <is>
          <t>0%</t>
        </is>
      </c>
      <c r="E27" t="inlineStr">
        <is>
          <t>Week 8: Automated Remediation Live</t>
        </is>
      </c>
      <c r="F27" t="inlineStr">
        <is>
          <t>Lambda functions, EventBridge, SNS approval, MTTR &lt;5min</t>
        </is>
      </c>
    </row>
    <row r="28" ht="15" customHeight="1">
      <c r="A28" t="inlineStr">
        <is>
          <t>Phase 3: IaC Security Gate</t>
        </is>
      </c>
      <c r="B28" t="inlineStr">
        <is>
          <t>9-12</t>
        </is>
      </c>
      <c r="C28" t="inlineStr">
        <is>
          <t>Not Started</t>
        </is>
      </c>
      <c r="D28" t="inlineStr">
        <is>
          <t>0%</t>
        </is>
      </c>
      <c r="E28" t="inlineStr">
        <is>
          <t>Week 12: PR Gate Operational</t>
        </is>
      </c>
      <c r="F28" t="inlineStr">
        <is>
          <t>GitHub Actions, Checkov/OPA, PR blocking, SARIF</t>
        </is>
      </c>
    </row>
    <row r="29" ht="15" customHeight="1">
      <c r="A29" t="inlineStr">
        <is>
          <t>Phase 4: Metrics &amp; Feedback Loop</t>
        </is>
      </c>
      <c r="B29" t="inlineStr">
        <is>
          <t>13-16</t>
        </is>
      </c>
      <c r="C29" t="inlineStr">
        <is>
          <t>Not Started</t>
        </is>
      </c>
      <c r="D29" t="inlineStr">
        <is>
          <t>0%</t>
        </is>
      </c>
      <c r="E29" t="inlineStr">
        <is>
          <t>Week 16: Closed-Loop System</t>
        </is>
      </c>
      <c r="F29" t="inlineStr">
        <is>
          <t>Grafana dashboards, OPA policy auto-gen, 30-day trends</t>
        </is>
      </c>
    </row>
    <row r="30" ht="15" customHeight="1">
      <c r="A30" t="inlineStr">
        <is>
          <t>Phase 5: Visualization &amp; Documentation</t>
        </is>
      </c>
      <c r="B30" t="inlineStr">
        <is>
          <t>17-20</t>
        </is>
      </c>
      <c r="C30" t="inlineStr">
        <is>
          <t>Not Started</t>
        </is>
      </c>
      <c r="D30" t="inlineStr">
        <is>
          <t>0%</t>
        </is>
      </c>
      <c r="E30" t="inlineStr">
        <is>
          <t>Reporting &amp; Docs Complete</t>
        </is>
      </c>
      <c r="F30" t="inlineStr">
        <is>
          <t>Dashboards, reporting pack, runbooks, diagrams, final report &amp; presentation</t>
        </is>
      </c>
    </row>
  </sheetData>
  <mergeCells count="4">
    <mergeCell ref="A24:F24"/>
    <mergeCell ref="A3:B3"/>
    <mergeCell ref="A16:B16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zoomScaleNormal="100" workbookViewId="0">
      <selection activeCell="B9" sqref="B9"/>
    </sheetView>
  </sheetViews>
  <sheetFormatPr baseColWidth="8" defaultColWidth="8.7109375" defaultRowHeight="15"/>
  <cols>
    <col width="8" customWidth="1" min="1" max="1"/>
    <col width="35" customWidth="1" min="2" max="2"/>
    <col width="55" customWidth="1" min="3" max="3"/>
    <col width="45" customWidth="1" min="4" max="4"/>
    <col width="12" customWidth="1" min="5" max="6"/>
    <col width="10" customWidth="1" min="7" max="7"/>
    <col width="45" customWidth="1" min="8" max="8"/>
  </cols>
  <sheetData>
    <row r="1" ht="17.25" customHeight="1">
      <c r="A1" s="11" t="inlineStr">
        <is>
          <t>Phase 1: AWS Detection Baseline (Weeks 1-4)</t>
        </is>
      </c>
    </row>
    <row r="2" ht="15" customHeight="1">
      <c r="A2" s="12" t="inlineStr">
        <is>
          <t>Task ID</t>
        </is>
      </c>
      <c r="B2" s="12" t="inlineStr">
        <is>
          <t>Task Name</t>
        </is>
      </c>
      <c r="C2" s="12" t="inlineStr">
        <is>
          <t>Description</t>
        </is>
      </c>
      <c r="D2" s="12" t="inlineStr">
        <is>
          <t>Requirements</t>
        </is>
      </c>
      <c r="E2" s="12" t="inlineStr">
        <is>
          <t>Status</t>
        </is>
      </c>
      <c r="F2" s="12" t="inlineStr">
        <is>
          <t>Dependencies</t>
        </is>
      </c>
      <c r="G2" s="12" t="inlineStr">
        <is>
          <t>Est Hours</t>
        </is>
      </c>
      <c r="H2" s="12" t="inlineStr">
        <is>
          <t>Notes</t>
        </is>
      </c>
    </row>
    <row r="3" ht="15" customHeight="1">
      <c r="A3" s="14" t="inlineStr">
        <is>
          <t>CURRENT PROGRESS: 45% Complete (3/8 tasks done)</t>
        </is>
      </c>
    </row>
    <row r="4" ht="15" customHeight="1">
      <c r="A4" s="15" t="inlineStr">
        <is>
          <t>✅ DEPLOYED: KMS Key + 2 S3 Buckets (CloudTrail &amp; Config) + CloudTrail Multi-Region</t>
        </is>
      </c>
    </row>
    <row r="5" ht="15" customHeight="1">
      <c r="A5" s="16" t="inlineStr">
        <is>
          <t>🔄 NEXT STEPS: Deploy AWS Config (recorder + 5 rules) → IAM Access Analyzer → Security Hub → Testing</t>
        </is>
      </c>
    </row>
    <row r="6" ht="15" customHeight="1"/>
    <row r="7" ht="15" customHeight="1">
      <c r="A7" t="inlineStr">
        <is>
          <t>1.1</t>
        </is>
      </c>
      <c r="B7" t="inlineStr">
        <is>
          <t>AWS Account Setup &amp; Security Hardening</t>
        </is>
      </c>
      <c r="C7" t="inlineStr">
        <is>
          <t>Secure root account, enable MFA, configure billing alerts at €5/€10/€14</t>
        </is>
      </c>
      <c r="D7" t="inlineStr">
        <is>
          <t>AWS account access, payment method configured</t>
        </is>
      </c>
      <c r="E7" s="4" t="inlineStr">
        <is>
          <t>Complete</t>
        </is>
      </c>
      <c r="G7" t="n">
        <v>2</v>
      </c>
      <c r="H7" t="inlineStr">
        <is>
          <t>Root account secured, MFA enabled, billing alerts configured</t>
        </is>
      </c>
    </row>
    <row r="8" ht="15" customHeight="1">
      <c r="A8" t="inlineStr">
        <is>
          <t>1.2</t>
        </is>
      </c>
      <c r="B8" t="inlineStr">
        <is>
          <t>Enable CloudTrail (Multi-region)</t>
        </is>
      </c>
      <c r="C8" t="inlineStr">
        <is>
          <t>Enable CloudTrail across all regions capturing management events, configure encryption with KMS</t>
        </is>
      </c>
      <c r="D8" t="inlineStr">
        <is>
          <t>Understanding of CloudTrail event types, multi-region configuration</t>
        </is>
      </c>
      <c r="E8" s="4" t="inlineStr">
        <is>
          <t>Complete</t>
        </is>
      </c>
      <c r="F8" t="inlineStr">
        <is>
          <t>1.1</t>
        </is>
      </c>
      <c r="G8" t="n">
        <v>3</v>
      </c>
      <c r="H8" t="inlineStr">
        <is>
          <t>DEPLOYED: Multi-region CloudTrail capturing IAM events, encrypted with KMS</t>
        </is>
      </c>
    </row>
    <row r="9" ht="15" customHeight="1">
      <c r="A9" t="inlineStr">
        <is>
          <t>1.3</t>
        </is>
      </c>
      <c r="B9" t="inlineStr">
        <is>
          <t>Configure AWS Config Rules (5+ rules)</t>
        </is>
      </c>
      <c r="C9" t="inlineStr">
        <is>
          <t>Enable AWS Config and deploy 5+ managed rules for IAM compliance checking</t>
        </is>
      </c>
      <c r="D9" t="inlineStr">
        <is>
          <t>AWS Config concepts, CIS AWS Foundations Benchmark knowledge</t>
        </is>
      </c>
      <c r="E9" s="5" t="inlineStr">
        <is>
          <t>Not Started</t>
        </is>
      </c>
      <c r="F9" t="inlineStr">
        <is>
          <t>1.2</t>
        </is>
      </c>
      <c r="G9" t="n">
        <v>6</v>
      </c>
      <c r="H9" t="inlineStr">
        <is>
          <t>S3 bucket ready ✓ | Need: Config recorder, delivery channel, IAM role, 5+ rules</t>
        </is>
      </c>
    </row>
    <row r="10" ht="15" customHeight="1">
      <c r="A10" t="inlineStr">
        <is>
          <t>1.4</t>
        </is>
      </c>
      <c r="B10" t="inlineStr">
        <is>
          <t>Setup IAM Access Analyzer</t>
        </is>
      </c>
      <c r="C10" t="inlineStr">
        <is>
          <t>Enable IAM Access Analyzer to detect external access to resources</t>
        </is>
      </c>
      <c r="D10" t="inlineStr">
        <is>
          <t>Understanding of resource-based policies, cross-account access</t>
        </is>
      </c>
      <c r="E10" s="5" t="inlineStr">
        <is>
          <t>Not Started</t>
        </is>
      </c>
      <c r="F10" t="inlineStr">
        <is>
          <t>1.1</t>
        </is>
      </c>
      <c r="G10" t="n">
        <v>2</v>
      </c>
      <c r="H10" t="inlineStr">
        <is>
          <t>Next priority after Config</t>
        </is>
      </c>
    </row>
    <row r="11">
      <c r="A11" t="inlineStr">
        <is>
          <t>1.5</t>
        </is>
      </c>
      <c r="B11" t="inlineStr">
        <is>
          <t>Enable Security Hub &amp; Integrations</t>
        </is>
      </c>
      <c r="C11" t="inlineStr">
        <is>
          <t>Enable Security Hub, integrate with Config and IAM Analyzer, enable CIS benchmark</t>
        </is>
      </c>
      <c r="D11" t="inlineStr">
        <is>
          <t>Security Hub concepts, security standards enablement</t>
        </is>
      </c>
      <c r="E11" s="5" t="inlineStr">
        <is>
          <t>Not Started</t>
        </is>
      </c>
      <c r="F11" t="inlineStr">
        <is>
          <t>1.3, 1.4</t>
        </is>
      </c>
      <c r="G11" t="n">
        <v>4</v>
      </c>
      <c r="H11" t="inlineStr">
        <is>
          <t>Deploy after Config and IAM Analyzer for integration</t>
        </is>
      </c>
    </row>
    <row r="12">
      <c r="A12" t="inlineStr">
        <is>
          <t>1.6</t>
        </is>
      </c>
      <c r="B12" t="inlineStr">
        <is>
          <t>Configure S3 Buckets for Logs</t>
        </is>
      </c>
      <c r="C12" t="inlineStr">
        <is>
          <t>Create S3 buckets with encryption, versioning, lifecycle policies for cost optimization</t>
        </is>
      </c>
      <c r="D12" t="inlineStr">
        <is>
          <t>S3 security best practices, lifecycle policy design</t>
        </is>
      </c>
      <c r="E12" s="4" t="inlineStr">
        <is>
          <t>Complete</t>
        </is>
      </c>
      <c r="F12" t="inlineStr">
        <is>
          <t>1.1</t>
        </is>
      </c>
      <c r="G12" t="n">
        <v>3</v>
      </c>
      <c r="H12" t="inlineStr">
        <is>
          <t>DEPLOYED: 2 buckets (CloudTrail + Config) with encryption, versioning, lifecycle policies, 4-layer public access blocking</t>
        </is>
      </c>
    </row>
    <row r="13">
      <c r="A13" t="inlineStr">
        <is>
          <t>1.7</t>
        </is>
      </c>
      <c r="B13" t="inlineStr">
        <is>
          <t>Initial Testing (3 scenarios)</t>
        </is>
      </c>
      <c r="C13" t="inlineStr">
        <is>
          <t>Test detection with 3 attack scenarios: wildcard policy, MFA disable, external access</t>
        </is>
      </c>
      <c r="D13" t="inlineStr">
        <is>
          <t>Ability to trigger test events, verify detection timing</t>
        </is>
      </c>
      <c r="E13" s="5" t="inlineStr">
        <is>
          <t>Not Started</t>
        </is>
      </c>
      <c r="F13" t="inlineStr">
        <is>
          <t>1.5</t>
        </is>
      </c>
      <c r="G13" t="n">
        <v>4</v>
      </c>
      <c r="H13" t="inlineStr">
        <is>
          <t>Awaiting Security Hub deployment</t>
        </is>
      </c>
    </row>
    <row r="14">
      <c r="A14" t="inlineStr">
        <is>
          <t>1.8</t>
        </is>
      </c>
      <c r="B14" t="inlineStr">
        <is>
          <t>Document Detection Infrastructure</t>
        </is>
      </c>
      <c r="C14" t="inlineStr">
        <is>
          <t>Create comprehensive documentation with architecture diagrams, configuration details</t>
        </is>
      </c>
      <c r="D14" t="inlineStr">
        <is>
          <t>Technical writing, diagram tools (draw.io), Markdown</t>
        </is>
      </c>
      <c r="E14" s="6" t="inlineStr">
        <is>
          <t>In Progress</t>
        </is>
      </c>
      <c r="F14" t="inlineStr">
        <is>
          <t>1.7</t>
        </is>
      </c>
      <c r="G14" t="n">
        <v>5</v>
      </c>
      <c r="H14" t="inlineStr">
        <is>
          <t>Have: PHASE1.md, foundation-documentation.md | Need: Complete README, architecture diagrams</t>
        </is>
      </c>
    </row>
  </sheetData>
  <mergeCells count="4">
    <mergeCell ref="A1:H1"/>
    <mergeCell ref="A4:H4"/>
    <mergeCell ref="A3:H3"/>
    <mergeCell ref="A5:H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1" max="1"/>
    <col width="35" customWidth="1" min="2" max="2"/>
    <col width="55" customWidth="1" min="3" max="3"/>
    <col width="45" customWidth="1" min="4" max="4"/>
    <col width="12" customWidth="1" min="5" max="6"/>
    <col width="10" customWidth="1" min="7" max="7"/>
    <col width="45" customWidth="1" min="8" max="8"/>
  </cols>
  <sheetData>
    <row r="1" ht="17.25" customHeight="1">
      <c r="A1" s="11" t="inlineStr">
        <is>
          <t>Phase 2: Basic Remediation (Weeks 5-8)</t>
        </is>
      </c>
    </row>
    <row r="2" ht="15" customHeight="1">
      <c r="A2" s="12" t="inlineStr">
        <is>
          <t>Task ID</t>
        </is>
      </c>
      <c r="B2" s="12" t="inlineStr">
        <is>
          <t>Task Name</t>
        </is>
      </c>
      <c r="C2" s="12" t="inlineStr">
        <is>
          <t>Description</t>
        </is>
      </c>
      <c r="D2" s="12" t="inlineStr">
        <is>
          <t>Requirements</t>
        </is>
      </c>
      <c r="E2" s="12" t="inlineStr">
        <is>
          <t>Status</t>
        </is>
      </c>
      <c r="F2" s="12" t="inlineStr">
        <is>
          <t>Dependencies</t>
        </is>
      </c>
      <c r="G2" s="12" t="inlineStr">
        <is>
          <t>Est Hours</t>
        </is>
      </c>
      <c r="H2" s="12" t="inlineStr">
        <is>
          <t>Notes</t>
        </is>
      </c>
    </row>
    <row r="3" ht="15" customHeight="1">
      <c r="A3" t="inlineStr">
        <is>
          <t>2.1</t>
        </is>
      </c>
      <c r="B3" t="inlineStr">
        <is>
          <t>Design Lambda Remediation Architecture</t>
        </is>
      </c>
      <c r="C3" t="inlineStr">
        <is>
          <t>Design event-driven architecture: Security Hub → EventBridge → Lambda → SNS approval</t>
        </is>
      </c>
      <c r="D3" t="inlineStr">
        <is>
          <t>Event-driven patterns, Lambda best practices, error handling design</t>
        </is>
      </c>
      <c r="E3" s="5" t="inlineStr">
        <is>
          <t>Not Started</t>
        </is>
      </c>
      <c r="F3" t="inlineStr">
        <is>
          <t>1.8</t>
        </is>
      </c>
      <c r="G3" t="n">
        <v>4</v>
      </c>
      <c r="H3" t="inlineStr">
        <is>
          <t>Foundation for all remediation functions</t>
        </is>
      </c>
    </row>
    <row r="4" ht="15" customHeight="1">
      <c r="A4" t="inlineStr">
        <is>
          <t>2.2</t>
        </is>
      </c>
      <c r="B4" t="inlineStr">
        <is>
          <t>Create DynamoDB State Tracking Table</t>
        </is>
      </c>
      <c r="C4" t="inlineStr">
        <is>
          <t>Create DynamoDB table to track remediation state, approval status, and audit trail</t>
        </is>
      </c>
      <c r="D4" t="inlineStr">
        <is>
          <t>DynamoDB design, partition key selection, TTL configuration</t>
        </is>
      </c>
      <c r="E4" s="5" t="inlineStr">
        <is>
          <t>Not Started</t>
        </is>
      </c>
      <c r="F4" t="inlineStr">
        <is>
          <t>2.1</t>
        </is>
      </c>
      <c r="G4" t="n">
        <v>2</v>
      </c>
      <c r="H4" t="inlineStr">
        <is>
          <t>Enables tracking of remediation actions and approvals</t>
        </is>
      </c>
    </row>
    <row r="5" ht="15" customHeight="1">
      <c r="A5" t="inlineStr">
        <is>
          <t>2.3</t>
        </is>
      </c>
      <c r="B5" t="inlineStr">
        <is>
          <t>Develop Lambda: Wildcard Policy Remediator</t>
        </is>
      </c>
      <c r="C5" t="inlineStr">
        <is>
          <t>Python Lambda to detect and remove wildcard (*) IAM policies automatically</t>
        </is>
      </c>
      <c r="D5" t="inlineStr">
        <is>
          <t>Python, boto3, IAM policy manipulation, Lambda development</t>
        </is>
      </c>
      <c r="E5" s="5" t="inlineStr">
        <is>
          <t>Not Started</t>
        </is>
      </c>
      <c r="F5" t="inlineStr">
        <is>
          <t>2.1</t>
        </is>
      </c>
      <c r="G5" t="n">
        <v>8</v>
      </c>
      <c r="H5" t="inlineStr">
        <is>
          <t>First critical remediation - addresses major security risk</t>
        </is>
      </c>
    </row>
    <row r="6" ht="15" customHeight="1">
      <c r="A6" t="inlineStr">
        <is>
          <t>2.4</t>
        </is>
      </c>
      <c r="B6" t="inlineStr">
        <is>
          <t>Develop Lambda: Overpermissive Role Handler</t>
        </is>
      </c>
      <c r="C6" t="inlineStr">
        <is>
          <t>Lambda to identify and restrict overly permissive IAM roles (Admin-like access)</t>
        </is>
      </c>
      <c r="D6" t="inlineStr">
        <is>
          <t>IAM policy analysis, risk scoring logic, Python development</t>
        </is>
      </c>
      <c r="E6" s="5" t="inlineStr">
        <is>
          <t>Not Started</t>
        </is>
      </c>
      <c r="F6" t="inlineStr">
        <is>
          <t>2.1</t>
        </is>
      </c>
      <c r="G6" t="n">
        <v>8</v>
      </c>
      <c r="H6" t="inlineStr">
        <is>
          <t>Requires careful logic to avoid breaking legitimate admin roles</t>
        </is>
      </c>
    </row>
    <row r="7" ht="15" customHeight="1">
      <c r="A7" t="inlineStr">
        <is>
          <t>2.5</t>
        </is>
      </c>
      <c r="B7" t="inlineStr">
        <is>
          <t>Develop Lambda: Unrotated Keys Detector</t>
        </is>
      </c>
      <c r="C7" t="inlineStr">
        <is>
          <t>Lambda to detect and disable IAM access keys older than 90 days</t>
        </is>
      </c>
      <c r="D7" t="inlineStr">
        <is>
          <t>IAM access key management, key rotation policies</t>
        </is>
      </c>
      <c r="E7" s="5" t="inlineStr">
        <is>
          <t>Not Started</t>
        </is>
      </c>
      <c r="F7" t="inlineStr">
        <is>
          <t>2.1</t>
        </is>
      </c>
      <c r="G7" t="n">
        <v>6</v>
      </c>
      <c r="H7" t="inlineStr">
        <is>
          <t>CIS benchmark requirement - rotate keys every 90 days</t>
        </is>
      </c>
    </row>
    <row r="8" ht="15" customHeight="1">
      <c r="A8" t="inlineStr">
        <is>
          <t>2.6</t>
        </is>
      </c>
      <c r="B8" t="inlineStr">
        <is>
          <t>Configure EventBridge Rules (5+ patterns)</t>
        </is>
      </c>
      <c r="C8" t="inlineStr">
        <is>
          <t>Create EventBridge rules to route specific Security Hub findings to correct Lambda</t>
        </is>
      </c>
      <c r="D8" t="inlineStr">
        <is>
          <t>EventBridge event patterns, filtering logic, target configuration</t>
        </is>
      </c>
      <c r="E8" s="5" t="inlineStr">
        <is>
          <t>Not Started</t>
        </is>
      </c>
      <c r="F8" t="inlineStr">
        <is>
          <t>2.3, 2.4, 2.5</t>
        </is>
      </c>
      <c r="G8" t="n">
        <v>4</v>
      </c>
      <c r="H8" t="inlineStr">
        <is>
          <t>Intelligent routing based on finding type and severity</t>
        </is>
      </c>
    </row>
    <row r="9" ht="15" customHeight="1">
      <c r="A9" t="inlineStr">
        <is>
          <t>2.7</t>
        </is>
      </c>
      <c r="B9" t="inlineStr">
        <is>
          <t>Setup SNS Approval Workflow</t>
        </is>
      </c>
      <c r="C9" t="inlineStr">
        <is>
          <t>Create SNS topic for human approval of high-impact remediations</t>
        </is>
      </c>
      <c r="D9" t="inlineStr">
        <is>
          <t>SNS configuration, email subscriptions, approval token handling</t>
        </is>
      </c>
      <c r="E9" s="5" t="inlineStr">
        <is>
          <t>Not Started</t>
        </is>
      </c>
      <c r="F9" t="inlineStr">
        <is>
          <t>2.6</t>
        </is>
      </c>
      <c r="G9" t="n">
        <v>3</v>
      </c>
      <c r="H9" t="inlineStr">
        <is>
          <t>Safety mechanism for changes requiring human judgment</t>
        </is>
      </c>
    </row>
    <row r="10" ht="15" customHeight="1">
      <c r="A10" t="inlineStr">
        <is>
          <t>2.8</t>
        </is>
      </c>
      <c r="B10" t="inlineStr">
        <is>
          <t>Lambda Unit &amp; Integration Testing</t>
        </is>
      </c>
      <c r="C10" t="inlineStr">
        <is>
          <t>Develop comprehensive tests for all Lambda functions with mocked AWS services</t>
        </is>
      </c>
      <c r="D10" t="inlineStr">
        <is>
          <t>pytest, moto for AWS mocking, test scenario design</t>
        </is>
      </c>
      <c r="E10" s="5" t="inlineStr">
        <is>
          <t>Not Started</t>
        </is>
      </c>
      <c r="F10" t="inlineStr">
        <is>
          <t>2.7</t>
        </is>
      </c>
      <c r="G10" t="n">
        <v>8</v>
      </c>
      <c r="H10" t="inlineStr">
        <is>
          <t>Critical for preventing accidental production damage</t>
        </is>
      </c>
    </row>
    <row r="11" ht="15" customHeight="1">
      <c r="A11" t="inlineStr">
        <is>
          <t>2.9</t>
        </is>
      </c>
      <c r="B11" t="inlineStr">
        <is>
          <t>Measure MTTR (&lt;5min validation)</t>
        </is>
      </c>
      <c r="C11" t="inlineStr">
        <is>
          <t>Execute test scenarios and measure Mean Time To Remediate against target</t>
        </is>
      </c>
      <c r="D11" t="inlineStr">
        <is>
          <t>Timing measurement, metric collection, validation criteria</t>
        </is>
      </c>
      <c r="E11" s="5" t="inlineStr">
        <is>
          <t>Not Started</t>
        </is>
      </c>
      <c r="F11" t="inlineStr">
        <is>
          <t>2.8</t>
        </is>
      </c>
      <c r="G11" t="n">
        <v>3</v>
      </c>
      <c r="H11" t="inlineStr">
        <is>
          <t>Validate meets &lt;5min MTTR objective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1" max="1"/>
    <col width="35" customWidth="1" min="2" max="2"/>
    <col width="55" customWidth="1" min="3" max="3"/>
    <col width="45" customWidth="1" min="4" max="4"/>
    <col width="12" customWidth="1" min="5" max="6"/>
    <col width="10" customWidth="1" min="7" max="7"/>
    <col width="45" customWidth="1" min="8" max="8"/>
  </cols>
  <sheetData>
    <row r="1" ht="17.25" customHeight="1">
      <c r="A1" s="11" t="inlineStr">
        <is>
          <t>Phase 3: IaC Security Gate (Weeks 9-12) - SHIFT-LEFT PREVENTION</t>
        </is>
      </c>
    </row>
    <row r="2" ht="15" customHeight="1">
      <c r="A2" s="12" t="inlineStr">
        <is>
          <t>Task ID</t>
        </is>
      </c>
      <c r="B2" s="12" t="inlineStr">
        <is>
          <t>Task Name</t>
        </is>
      </c>
      <c r="C2" s="12" t="inlineStr">
        <is>
          <t>Description</t>
        </is>
      </c>
      <c r="D2" s="12" t="inlineStr">
        <is>
          <t>Requirements</t>
        </is>
      </c>
      <c r="E2" s="12" t="inlineStr">
        <is>
          <t>Status</t>
        </is>
      </c>
      <c r="F2" s="12" t="inlineStr">
        <is>
          <t>Dependencies</t>
        </is>
      </c>
      <c r="G2" s="12" t="inlineStr">
        <is>
          <t>Est Hours</t>
        </is>
      </c>
      <c r="H2" s="12" t="inlineStr">
        <is>
          <t>Notes</t>
        </is>
      </c>
    </row>
    <row r="3" ht="15" customHeight="1">
      <c r="A3" t="inlineStr">
        <is>
          <t>3.1</t>
        </is>
      </c>
      <c r="B3" t="inlineStr">
        <is>
          <t>OPA/Rego Learning &amp; Experimentation</t>
        </is>
      </c>
      <c r="C3" t="inlineStr">
        <is>
          <t>Learn OPA policy language (Rego), experiment with policy writing and testing</t>
        </is>
      </c>
      <c r="D3" t="inlineStr">
        <is>
          <t>Time for learning new technology, OPA documentation study</t>
        </is>
      </c>
      <c r="E3" s="5" t="inlineStr">
        <is>
          <t>Not Started</t>
        </is>
      </c>
      <c r="G3" t="n">
        <v>8</v>
      </c>
      <c r="H3" t="inlineStr">
        <is>
          <t>Started early (Week 7) to address learning curve - key risk mitigation</t>
        </is>
      </c>
    </row>
    <row r="4" ht="15" customHeight="1">
      <c r="A4" t="inlineStr">
        <is>
          <t>3.2</t>
        </is>
      </c>
      <c r="B4" t="inlineStr">
        <is>
          <t>Setup GitHub Repository Structure</t>
        </is>
      </c>
      <c r="C4" t="inlineStr">
        <is>
          <t>Organize repo with .github/workflows/, policies/, terraform/, docs/ structure</t>
        </is>
      </c>
      <c r="D4" t="inlineStr">
        <is>
          <t>GitHub Actions knowledge, repo organization best practices</t>
        </is>
      </c>
      <c r="E4" s="5" t="inlineStr">
        <is>
          <t>Not Started</t>
        </is>
      </c>
      <c r="G4" t="n">
        <v>2</v>
      </c>
      <c r="H4" t="inlineStr">
        <is>
          <t>Clean separation of IaC, policies, and automation</t>
        </is>
      </c>
    </row>
    <row r="5" ht="15" customHeight="1">
      <c r="A5" t="inlineStr">
        <is>
          <t>3.3</t>
        </is>
      </c>
      <c r="B5" t="inlineStr">
        <is>
          <t>Configure Checkov in GitHub Actions</t>
        </is>
      </c>
      <c r="C5" t="inlineStr">
        <is>
          <t>Create workflow to run Checkov (750+ policies) on every PR with Terraform changes</t>
        </is>
      </c>
      <c r="D5" t="inlineStr">
        <is>
          <t>GitHub Actions syntax, Checkov CLI usage, workflow triggers</t>
        </is>
      </c>
      <c r="E5" s="5" t="inlineStr">
        <is>
          <t>Not Started</t>
        </is>
      </c>
      <c r="F5" t="inlineStr">
        <is>
          <t>3.2</t>
        </is>
      </c>
      <c r="G5" t="n">
        <v>4</v>
      </c>
      <c r="H5" t="inlineStr">
        <is>
          <t>First line of defense - comprehensive policy checking</t>
        </is>
      </c>
    </row>
    <row r="6" ht="15" customHeight="1">
      <c r="A6" t="inlineStr">
        <is>
          <t>3.4</t>
        </is>
      </c>
      <c r="B6" t="inlineStr">
        <is>
          <t>Write Custom OPA Policies (3-5 policies)</t>
        </is>
      </c>
      <c r="C6" t="inlineStr">
        <is>
          <t>Write custom Rego policies for IAM-specific violations not covered by Checkov</t>
        </is>
      </c>
      <c r="D6" t="inlineStr">
        <is>
          <t>Rego syntax mastery, IAM policy analysis skills</t>
        </is>
      </c>
      <c r="E6" s="5" t="inlineStr">
        <is>
          <t>Not Started</t>
        </is>
      </c>
      <c r="F6" t="inlineStr">
        <is>
          <t>3.1</t>
        </is>
      </c>
      <c r="G6" t="n">
        <v>10</v>
      </c>
      <c r="H6" t="inlineStr">
        <is>
          <t>Examples: wildcard policies, overly permissive assume roles</t>
        </is>
      </c>
    </row>
    <row r="7" ht="15" customHeight="1">
      <c r="A7" t="inlineStr">
        <is>
          <t>3.5</t>
        </is>
      </c>
      <c r="B7" t="inlineStr">
        <is>
          <t>Integrate Conftest into Workflow</t>
        </is>
      </c>
      <c r="C7" t="inlineStr">
        <is>
          <t>Add Conftest to GitHub Actions to evaluate Terraform plans against OPA policies</t>
        </is>
      </c>
      <c r="D7" t="inlineStr">
        <is>
          <t>Conftest usage, Terraform plan JSON parsing, integration</t>
        </is>
      </c>
      <c r="E7" s="5" t="inlineStr">
        <is>
          <t>Not Started</t>
        </is>
      </c>
      <c r="F7" t="inlineStr">
        <is>
          <t>3.4</t>
        </is>
      </c>
      <c r="G7" t="n">
        <v>4</v>
      </c>
      <c r="H7" t="inlineStr">
        <is>
          <t>Evaluates planned changes before apply</t>
        </is>
      </c>
    </row>
    <row r="8" ht="15" customHeight="1">
      <c r="A8" t="inlineStr">
        <is>
          <t>3.6</t>
        </is>
      </c>
      <c r="B8" t="inlineStr">
        <is>
          <t>Implement PR Blocking Logic</t>
        </is>
      </c>
      <c r="C8" t="inlineStr">
        <is>
          <t>Configure workflow to block PR merge if critical violations found</t>
        </is>
      </c>
      <c r="D8" t="inlineStr">
        <is>
          <t>GitHub branch protection rules, workflow status checks</t>
        </is>
      </c>
      <c r="E8" s="5" t="inlineStr">
        <is>
          <t>Not Started</t>
        </is>
      </c>
      <c r="F8" t="inlineStr">
        <is>
          <t>3.5</t>
        </is>
      </c>
      <c r="G8" t="n">
        <v>3</v>
      </c>
      <c r="H8" t="inlineStr">
        <is>
          <t>Enforces security gate - cannot merge unsafe code</t>
        </is>
      </c>
    </row>
    <row r="9" ht="15" customHeight="1">
      <c r="A9" t="inlineStr">
        <is>
          <t>3.7</t>
        </is>
      </c>
      <c r="B9" t="inlineStr">
        <is>
          <t>Add SARIF Artifact Generation</t>
        </is>
      </c>
      <c r="C9" t="inlineStr">
        <is>
          <t>Generate SARIF format output for GitHub Security tab integration</t>
        </is>
      </c>
      <c r="D9" t="inlineStr">
        <is>
          <t>SARIF format understanding, GitHub Code Scanning integration</t>
        </is>
      </c>
      <c r="E9" s="5" t="inlineStr">
        <is>
          <t>Not Started</t>
        </is>
      </c>
      <c r="F9" t="inlineStr">
        <is>
          <t>3.6</t>
        </is>
      </c>
      <c r="G9" t="n">
        <v>3</v>
      </c>
      <c r="H9" t="inlineStr">
        <is>
          <t>Rich UI for reviewing security findings in GitHub</t>
        </is>
      </c>
    </row>
    <row r="10" ht="15" customHeight="1">
      <c r="A10" t="inlineStr">
        <is>
          <t>3.8</t>
        </is>
      </c>
      <c r="B10" t="inlineStr">
        <is>
          <t>BridgeCrew API Integration</t>
        </is>
      </c>
      <c r="C10" t="inlineStr">
        <is>
          <t>Integrate with BridgeCrew API for additional severity scoring and insights</t>
        </is>
      </c>
      <c r="D10" t="inlineStr">
        <is>
          <t>API integration, authentication, rate limit handling</t>
        </is>
      </c>
      <c r="E10" s="5" t="inlineStr">
        <is>
          <t>Not Started</t>
        </is>
      </c>
      <c r="F10" t="inlineStr">
        <is>
          <t>3.7</t>
        </is>
      </c>
      <c r="G10" t="n">
        <v>4</v>
      </c>
      <c r="H10" t="inlineStr">
        <is>
          <t>Leverages commercial threat intelligence - free tier</t>
        </is>
      </c>
    </row>
    <row r="11" ht="15" customHeight="1">
      <c r="A11" t="inlineStr">
        <is>
          <t>3.9</t>
        </is>
      </c>
      <c r="B11" t="inlineStr">
        <is>
          <t>Test PR Gate (Block/Approve scenarios)</t>
        </is>
      </c>
      <c r="C11" t="inlineStr">
        <is>
          <t>Create test PRs with intentional violations to validate blocking works correctly</t>
        </is>
      </c>
      <c r="D11" t="inlineStr">
        <is>
          <t>Test scenario design, validation of block/approve logic</t>
        </is>
      </c>
      <c r="E11" s="5" t="inlineStr">
        <is>
          <t>Not Started</t>
        </is>
      </c>
      <c r="F11" t="inlineStr">
        <is>
          <t>3.8</t>
        </is>
      </c>
      <c r="G11" t="n">
        <v>5</v>
      </c>
      <c r="H11" t="inlineStr">
        <is>
          <t>Prove the gate works as designed before relying on it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1" max="1"/>
    <col width="35" customWidth="1" min="2" max="2"/>
    <col width="55" customWidth="1" min="3" max="3"/>
    <col width="45" customWidth="1" min="4" max="4"/>
    <col width="12" customWidth="1" min="5" max="6"/>
    <col width="10" customWidth="1" min="7" max="7"/>
    <col width="45" customWidth="1" min="8" max="8"/>
  </cols>
  <sheetData>
    <row r="1" ht="17.25" customHeight="1">
      <c r="A1" s="11" t="inlineStr">
        <is>
          <t>Phase 4: Metrics Instrumentation &amp; Feedback Loop (Weeks 13-16) - AUTOMATION</t>
        </is>
      </c>
    </row>
    <row r="2" ht="15" customHeight="1">
      <c r="A2" s="12" t="inlineStr">
        <is>
          <t>Task ID</t>
        </is>
      </c>
      <c r="B2" s="12" t="inlineStr">
        <is>
          <t>Task Name</t>
        </is>
      </c>
      <c r="C2" s="12" t="inlineStr">
        <is>
          <t>Description</t>
        </is>
      </c>
      <c r="D2" s="12" t="inlineStr">
        <is>
          <t>Requirements</t>
        </is>
      </c>
      <c r="E2" s="12" t="inlineStr">
        <is>
          <t>Status</t>
        </is>
      </c>
      <c r="F2" s="12" t="inlineStr">
        <is>
          <t>Dependencies</t>
        </is>
      </c>
      <c r="G2" s="12" t="inlineStr">
        <is>
          <t>Est Hours</t>
        </is>
      </c>
      <c r="H2" s="12" t="inlineStr">
        <is>
          <t>Notes</t>
        </is>
      </c>
    </row>
    <row r="3" ht="15" customHeight="1">
      <c r="A3" t="inlineStr">
        <is>
          <t>4.1</t>
        </is>
      </c>
      <c r="B3" t="inlineStr">
        <is>
          <t>Instrument Metrics (MTTD/MTTR, Coverage, Cost)</t>
        </is>
      </c>
      <c r="C3" t="inlineStr">
        <is>
          <t>Add instrumentation to detection/compliance pipeline to emit core KPIs (MTTD/MTTR, coverage %, cost) into a metrics store.</t>
        </is>
      </c>
      <c r="D3" t="inlineStr">
        <is>
          <t>Defined metric names/units, emitted events, initial sanity checks</t>
        </is>
      </c>
      <c r="E3" s="5" t="inlineStr">
        <is>
          <t>Not Started</t>
        </is>
      </c>
      <c r="G3" t="n">
        <v>5</v>
      </c>
      <c r="H3" t="inlineStr">
        <is>
          <t>Prefer CloudWatch Metrics/Logs first; keep schema stable for Phase 5 dashboards</t>
        </is>
      </c>
    </row>
    <row r="4" ht="15" customHeight="1">
      <c r="A4" t="inlineStr">
        <is>
          <t>4.2</t>
        </is>
      </c>
      <c r="B4" t="inlineStr">
        <is>
          <t>Normalize Events into Metrics Dataset</t>
        </is>
      </c>
      <c r="C4" t="inlineStr">
        <is>
          <t>Create normalization step to convert raw findings/events into a clean dataset (daily aggregates, per-rule compliance, top findings).</t>
        </is>
      </c>
      <c r="D4" t="inlineStr">
        <is>
          <t>Normalization logic + scheduled job + sample outputs</t>
        </is>
      </c>
      <c r="E4" s="5" t="inlineStr">
        <is>
          <t>Not Started</t>
        </is>
      </c>
      <c r="F4" t="inlineStr">
        <is>
          <t>4.1</t>
        </is>
      </c>
      <c r="G4" t="n">
        <v>5</v>
      </c>
      <c r="H4" t="inlineStr">
        <is>
          <t>Keep output format consistent (CSV/JSON); store in S3 prefix for reporting</t>
        </is>
      </c>
    </row>
    <row r="5" ht="15" customHeight="1">
      <c r="A5" t="inlineStr">
        <is>
          <t>4.3</t>
        </is>
      </c>
      <c r="B5" t="inlineStr">
        <is>
          <t>Define Feedback Loop Patterns (OPA Targets)</t>
        </is>
      </c>
      <c r="C5" t="inlineStr">
        <is>
          <t>Define patterns that should generate preventive IaC policies (e.g., overly-permissive IAM, public S3, missing encryption).</t>
        </is>
      </c>
      <c r="D5" t="inlineStr">
        <is>
          <t>Pattern catalog + mapping to OPA/controls</t>
        </is>
      </c>
      <c r="E5" s="5" t="inlineStr">
        <is>
          <t>Not Started</t>
        </is>
      </c>
      <c r="F5" t="inlineStr">
        <is>
          <t>4.2</t>
        </is>
      </c>
      <c r="G5" t="n">
        <v>4</v>
      </c>
      <c r="H5" t="inlineStr">
        <is>
          <t>Focus on high-signal patterns to avoid noisy policy generation</t>
        </is>
      </c>
    </row>
    <row r="6" ht="15" customHeight="1">
      <c r="A6" t="inlineStr">
        <is>
          <t>4.4</t>
        </is>
      </c>
      <c r="B6" t="inlineStr">
        <is>
          <t>Develop OPA Policy Generator</t>
        </is>
      </c>
      <c r="C6" t="inlineStr">
        <is>
          <t>Implement generator that turns normalized findings into draft OPA/Rego policies with tests and metadata.</t>
        </is>
      </c>
      <c r="D6" t="inlineStr">
        <is>
          <t>Rego templates, unit tests, policy metadata</t>
        </is>
      </c>
      <c r="E6" s="5" t="inlineStr">
        <is>
          <t>Not Started</t>
        </is>
      </c>
      <c r="F6" t="inlineStr">
        <is>
          <t>4.3</t>
        </is>
      </c>
      <c r="G6" t="n">
        <v>12</v>
      </c>
      <c r="H6" t="inlineStr">
        <is>
          <t>Keep generator deterministic; include safe defaults and explicit allowlists</t>
        </is>
      </c>
    </row>
    <row r="7" ht="15" customHeight="1">
      <c r="A7" t="inlineStr">
        <is>
          <t>4.5</t>
        </is>
      </c>
      <c r="B7" t="inlineStr">
        <is>
          <t>Automate PR Workflow for Policies</t>
        </is>
      </c>
      <c r="C7" t="inlineStr">
        <is>
          <t>Automate: finding → analysis → policy generation → pull request to policies repo with CI checks and approvals.</t>
        </is>
      </c>
      <c r="D7" t="inlineStr">
        <is>
          <t>End-to-end automation, PR creation, approval gates</t>
        </is>
      </c>
      <c r="E7" s="5" t="inlineStr">
        <is>
          <t>Not Started</t>
        </is>
      </c>
      <c r="F7" t="inlineStr">
        <is>
          <t>4.4</t>
        </is>
      </c>
      <c r="G7" t="n">
        <v>8</v>
      </c>
      <c r="H7" t="inlineStr">
        <is>
          <t>Use least-privilege GitHub token; require manual approval before merge</t>
        </is>
      </c>
    </row>
    <row r="8" ht="15" customHeight="1">
      <c r="A8" t="inlineStr">
        <is>
          <t>4.6</t>
        </is>
      </c>
      <c r="B8" t="inlineStr">
        <is>
          <t>Governance: Testing, Rollback, Exceptions</t>
        </is>
      </c>
      <c r="C8" t="inlineStr">
        <is>
          <t>Define governance for generated policies: required tests, exception process, rollback plan, and audit trail.</t>
        </is>
      </c>
      <c r="D8" t="inlineStr">
        <is>
          <t>Policy governance doc + CI checks + exception template</t>
        </is>
      </c>
      <c r="E8" s="5" t="inlineStr">
        <is>
          <t>Not Started</t>
        </is>
      </c>
      <c r="F8" t="inlineStr">
        <is>
          <t>4.5</t>
        </is>
      </c>
      <c r="G8" t="n">
        <v>6</v>
      </c>
      <c r="H8" t="inlineStr">
        <is>
          <t>Prevent breaking changes; maintain allowlist/denylist versioning</t>
        </is>
      </c>
    </row>
    <row r="9" ht="15" customHeight="1">
      <c r="A9" t="inlineStr">
        <is>
          <t>4.7</t>
        </is>
      </c>
      <c r="B9" t="inlineStr">
        <is>
          <t>Validate Policy Generation (5+ Policies)</t>
        </is>
      </c>
      <c r="C9" t="inlineStr">
        <is>
          <t>Trigger representative violations and verify policy drafts are correct, minimal, and don’t block legitimate changes.</t>
        </is>
      </c>
      <c r="D9" t="inlineStr">
        <is>
          <t>5+ generated policies validated with tests</t>
        </is>
      </c>
      <c r="E9" s="5" t="inlineStr">
        <is>
          <t>Not Started</t>
        </is>
      </c>
      <c r="F9" t="inlineStr">
        <is>
          <t>4.5</t>
        </is>
      </c>
      <c r="G9" t="n">
        <v>6</v>
      </c>
      <c r="H9" t="inlineStr">
        <is>
          <t>Track false positives and add exception patterns</t>
        </is>
      </c>
    </row>
    <row r="10" ht="15" customHeight="1">
      <c r="A10" t="inlineStr">
        <is>
          <t>4.8</t>
        </is>
      </c>
      <c r="B10" t="inlineStr">
        <is>
          <t>Trend Dataset Readiness (7/30-day)</t>
        </is>
      </c>
      <c r="C10" t="inlineStr">
        <is>
          <t>Validate the dataset supports trend reporting (7-day minimum now; 30-day collection plan documented).</t>
        </is>
      </c>
      <c r="D10" t="inlineStr">
        <is>
          <t>Trend-ready dataset + validation notes</t>
        </is>
      </c>
      <c r="E10" s="5" t="inlineStr">
        <is>
          <t>Not Started</t>
        </is>
      </c>
      <c r="F10" t="inlineStr">
        <is>
          <t>4.2</t>
        </is>
      </c>
      <c r="G10" t="n">
        <v>3</v>
      </c>
      <c r="H10" t="inlineStr">
        <is>
          <t>Phase 5 will visualize these trends; ensure stable time windows</t>
        </is>
      </c>
    </row>
    <row r="11" ht="15" customHeight="1">
      <c r="A11" t="inlineStr">
        <is>
          <t>4.9</t>
        </is>
      </c>
      <c r="B11" t="inlineStr">
        <is>
          <t>Handoff to Visualization Phase</t>
        </is>
      </c>
      <c r="C11" t="inlineStr">
        <is>
          <t>Finalize metric definitions, dataset locations, and documentation handoff to Phase 5 for dashboard/report buildout.</t>
        </is>
      </c>
      <c r="D11" t="inlineStr">
        <is>
          <t>Handoff checklist completed</t>
        </is>
      </c>
      <c r="E11" s="5" t="inlineStr">
        <is>
          <t>Not Started</t>
        </is>
      </c>
      <c r="F11" t="inlineStr">
        <is>
          <t>4.8</t>
        </is>
      </c>
      <c r="G11" t="n">
        <v>2</v>
      </c>
      <c r="H11" t="inlineStr">
        <is>
          <t>Ensure links to datasets and query library are documented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1" max="1"/>
    <col width="35" customWidth="1" min="2" max="2"/>
    <col width="55" customWidth="1" min="3" max="3"/>
    <col width="45" customWidth="1" min="4" max="4"/>
    <col width="12" customWidth="1" min="5" max="6"/>
    <col width="10" customWidth="1" min="7" max="7"/>
    <col width="45" customWidth="1" min="8" max="8"/>
  </cols>
  <sheetData>
    <row r="1" ht="17.25" customHeight="1">
      <c r="A1" s="11" t="inlineStr">
        <is>
          <t>Phase 5: Visualization &amp; Documentation (Weeks 17-20) - REPORTING</t>
        </is>
      </c>
    </row>
    <row r="2" ht="15" customHeight="1">
      <c r="A2" s="12" t="inlineStr">
        <is>
          <t>Task ID</t>
        </is>
      </c>
      <c r="B2" s="12" t="inlineStr">
        <is>
          <t>Task Name</t>
        </is>
      </c>
      <c r="C2" s="12" t="inlineStr">
        <is>
          <t>Description</t>
        </is>
      </c>
      <c r="D2" s="12" t="inlineStr">
        <is>
          <t>Requirements</t>
        </is>
      </c>
      <c r="E2" s="12" t="inlineStr">
        <is>
          <t>Status</t>
        </is>
      </c>
      <c r="F2" s="12" t="inlineStr">
        <is>
          <t>Dependencies</t>
        </is>
      </c>
      <c r="G2" s="12" t="inlineStr">
        <is>
          <t>Est Hours</t>
        </is>
      </c>
      <c r="H2" s="12" t="inlineStr">
        <is>
          <t>Notes</t>
        </is>
      </c>
    </row>
    <row r="3" ht="15" customHeight="1">
      <c r="A3" t="inlineStr">
        <is>
          <t>5.1</t>
        </is>
      </c>
      <c r="B3" t="inlineStr">
        <is>
          <t>Define KPIs &amp; Reporting Requirements</t>
        </is>
      </c>
      <c r="C3" t="inlineStr">
        <is>
          <t>Define core security KPIs (MTTD/MTTR, coverage, cost) and reporting cadence; map KPIs to data sources.</t>
        </is>
      </c>
      <c r="D3" t="inlineStr">
        <is>
          <t>KPI list, dashboard wireframes, data source mapping</t>
        </is>
      </c>
      <c r="E3" s="5" t="inlineStr">
        <is>
          <t>Not Started</t>
        </is>
      </c>
      <c r="G3" t="n">
        <v>3</v>
      </c>
      <c r="H3" t="inlineStr">
        <is>
          <t>Align with Success Metrics sheet; define owners and review cadence</t>
        </is>
      </c>
    </row>
    <row r="4" ht="15" customHeight="1">
      <c r="A4" t="inlineStr">
        <is>
          <t>5.2</t>
        </is>
      </c>
      <c r="B4" t="inlineStr">
        <is>
          <t>Build Metrics Dataset &amp; Queries</t>
        </is>
      </c>
      <c r="C4" t="inlineStr">
        <is>
          <t>Create reusable queries/filters and calculations to produce a clean metrics dataset for dashboards and reports.</t>
        </is>
      </c>
      <c r="D4" t="inlineStr">
        <is>
          <t>Query library, metric formulas, sample dataset</t>
        </is>
      </c>
      <c r="E4" s="5" t="inlineStr">
        <is>
          <t>Not Started</t>
        </is>
      </c>
      <c r="F4" t="inlineStr">
        <is>
          <t>5.1</t>
        </is>
      </c>
      <c r="G4" t="n">
        <v>5</v>
      </c>
      <c r="H4" t="inlineStr">
        <is>
          <t>Prefer simple sources first (Config compliance, CloudTrail events); automate exports where possible</t>
        </is>
      </c>
    </row>
    <row r="5" ht="15" customHeight="1">
      <c r="A5" t="inlineStr">
        <is>
          <t>5.3</t>
        </is>
      </c>
      <c r="B5" t="inlineStr">
        <is>
          <t>Create CloudWatch Dashboards (Ops Health)</t>
        </is>
      </c>
      <c r="C5" t="inlineStr">
        <is>
          <t>Create dashboards for baseline health: CloudTrail status, Config recorder status, rule compliance overview, error signals.</t>
        </is>
      </c>
      <c r="D5" t="inlineStr">
        <is>
          <t>Dashboards created, screenshots captured, runbook links</t>
        </is>
      </c>
      <c r="E5" s="5" t="inlineStr">
        <is>
          <t>Not Started</t>
        </is>
      </c>
      <c r="F5" t="inlineStr">
        <is>
          <t>5.2</t>
        </is>
      </c>
      <c r="G5" t="n">
        <v>4</v>
      </c>
      <c r="H5" t="inlineStr">
        <is>
          <t>Keep dashboards minimal and actionable; add links to docs</t>
        </is>
      </c>
    </row>
    <row r="6" ht="15" customHeight="1">
      <c r="A6" t="inlineStr">
        <is>
          <t>5.4</t>
        </is>
      </c>
      <c r="B6" t="inlineStr">
        <is>
          <t>Create Trend &amp; Compliance Dashboards</t>
        </is>
      </c>
      <c r="C6" t="inlineStr">
        <is>
          <t>Build visualizations for trends: 7/30-day compliance, top failing rules, MTTD/MTTR trendlines, cost trend (optional).</t>
        </is>
      </c>
      <c r="D6" t="inlineStr">
        <is>
          <t>Trend dashboards with filters by env/time</t>
        </is>
      </c>
      <c r="E6" s="5" t="inlineStr">
        <is>
          <t>Not Started</t>
        </is>
      </c>
      <c r="F6" t="inlineStr">
        <is>
          <t>5.3</t>
        </is>
      </c>
      <c r="G6" t="n">
        <v>6</v>
      </c>
      <c r="H6" t="inlineStr">
        <is>
          <t>Grafana/QuickSight optional; document data sources and refresh rate</t>
        </is>
      </c>
    </row>
    <row r="7" ht="15" customHeight="1">
      <c r="A7" t="inlineStr">
        <is>
          <t>5.5</t>
        </is>
      </c>
      <c r="B7" t="inlineStr">
        <is>
          <t>Automated Reporting Pack</t>
        </is>
      </c>
      <c r="C7" t="inlineStr">
        <is>
          <t>Create weekly/monthly report template (Markdown/PDF) summarizing KPIs, compliance, top findings, and recommendations.</t>
        </is>
      </c>
      <c r="D7" t="inlineStr">
        <is>
          <t>Report template + automation script + sample outputs</t>
        </is>
      </c>
      <c r="E7" s="5" t="inlineStr">
        <is>
          <t>Not Started</t>
        </is>
      </c>
      <c r="F7" t="inlineStr">
        <is>
          <t>5.4</t>
        </is>
      </c>
      <c r="G7" t="n">
        <v>4</v>
      </c>
      <c r="H7" t="inlineStr">
        <is>
          <t>Include executive summary + appendix with raw tables</t>
        </is>
      </c>
    </row>
    <row r="8" ht="15" customHeight="1">
      <c r="A8" t="inlineStr">
        <is>
          <t>5.6</t>
        </is>
      </c>
      <c r="B8" t="inlineStr">
        <is>
          <t>Runbooks &amp; Data Dictionary</t>
        </is>
      </c>
      <c r="C8" t="inlineStr">
        <is>
          <t>Write operational documentation: deployment, verification, troubleshooting, and a data dictionary for all metrics/dashboards.</t>
        </is>
      </c>
      <c r="D8" t="inlineStr">
        <is>
          <t>Runbooks complete, data dictionary published in repo</t>
        </is>
      </c>
      <c r="E8" s="5" t="inlineStr">
        <is>
          <t>Not Started</t>
        </is>
      </c>
      <c r="F8" t="inlineStr">
        <is>
          <t>5.5</t>
        </is>
      </c>
      <c r="G8" t="n">
        <v>8</v>
      </c>
      <c r="H8" t="inlineStr">
        <is>
          <t>Ensure docs are copy/paste friendly; include "known issues" section</t>
        </is>
      </c>
    </row>
    <row r="9" ht="15" customHeight="1">
      <c r="A9" t="inlineStr">
        <is>
          <t>5.7</t>
        </is>
      </c>
      <c r="B9" t="inlineStr">
        <is>
          <t>Architecture &amp; Data Flow Diagrams</t>
        </is>
      </c>
      <c r="C9" t="inlineStr">
        <is>
          <t>Produce final architecture and data-flow diagrams showing log generation, encryption, storage, evaluation, and reporting.</t>
        </is>
      </c>
      <c r="D9" t="inlineStr">
        <is>
          <t>Diagrams (PNG/SVG) + source files</t>
        </is>
      </c>
      <c r="E9" s="5" t="inlineStr">
        <is>
          <t>Not Started</t>
        </is>
      </c>
      <c r="F9" t="inlineStr">
        <is>
          <t>5.6</t>
        </is>
      </c>
      <c r="G9" t="n">
        <v>4</v>
      </c>
      <c r="H9" t="inlineStr">
        <is>
          <t>Add diagrams to README and module docs</t>
        </is>
      </c>
    </row>
    <row r="10" ht="15" customHeight="1">
      <c r="A10" t="inlineStr">
        <is>
          <t>5.8</t>
        </is>
      </c>
      <c r="B10" t="inlineStr">
        <is>
          <t>Verification &amp; Demo Guide (with Screenshots)</t>
        </is>
      </c>
      <c r="C10" t="inlineStr">
        <is>
          <t>Create step-by-step verification and demo guide with screenshots (AWS Console + CLI) demonstrating end-to-end operation.</t>
        </is>
      </c>
      <c r="D10" t="inlineStr">
        <is>
          <t>Demo script, verification checklist updates, screenshots</t>
        </is>
      </c>
      <c r="E10" s="5" t="inlineStr">
        <is>
          <t>Not Started</t>
        </is>
      </c>
      <c r="F10" t="inlineStr">
        <is>
          <t>5.7</t>
        </is>
      </c>
      <c r="G10" t="n">
        <v>6</v>
      </c>
      <c r="H10" t="inlineStr">
        <is>
          <t>Make it reproducible for an external reviewer</t>
        </is>
      </c>
    </row>
    <row r="11" ht="15" customHeight="1">
      <c r="A11" t="inlineStr">
        <is>
          <t>5.9</t>
        </is>
      </c>
      <c r="B11" t="inlineStr">
        <is>
          <t>Final Report &amp; Appendices (Visualization-First)</t>
        </is>
      </c>
      <c r="C11" t="inlineStr">
        <is>
          <t>Write final report emphasizing results, dashboards, metrics interpretation, and lessons learned. Compile appendices.</t>
        </is>
      </c>
      <c r="D11" t="inlineStr">
        <is>
          <t>Final report, appendices, references</t>
        </is>
      </c>
      <c r="E11" s="5" t="inlineStr">
        <is>
          <t>Not Started</t>
        </is>
      </c>
      <c r="F11" t="inlineStr">
        <is>
          <t>5.8</t>
        </is>
      </c>
      <c r="G11" t="n">
        <v>10</v>
      </c>
      <c r="H11" t="inlineStr">
        <is>
          <t>Include KPI tables/figures sourced from dashboards</t>
        </is>
      </c>
    </row>
    <row r="12" ht="15" customHeight="1">
      <c r="A12" t="inlineStr">
        <is>
          <t>5.10</t>
        </is>
      </c>
      <c r="B12" t="inlineStr">
        <is>
          <t>Final Presentation &amp; Narrative</t>
        </is>
      </c>
      <c r="C12" t="inlineStr">
        <is>
          <t>Create final slide deck and narrative focused on security posture improvements, visuals, and live demo walkthrough.</t>
        </is>
      </c>
      <c r="D12" t="inlineStr">
        <is>
          <t>Slide deck, speaker notes, demo plan</t>
        </is>
      </c>
      <c r="E12" s="5" t="inlineStr">
        <is>
          <t>Not Started</t>
        </is>
      </c>
      <c r="F12" t="inlineStr">
        <is>
          <t>5.9</t>
        </is>
      </c>
      <c r="G12" t="n">
        <v>6</v>
      </c>
      <c r="H12" t="inlineStr">
        <is>
          <t>Highlight CIS coverage, costs, and measurable outcomes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Normal="100" workbookViewId="0">
      <selection activeCell="D19" sqref="D19"/>
    </sheetView>
  </sheetViews>
  <sheetFormatPr baseColWidth="8" defaultColWidth="8.7109375" defaultRowHeight="15"/>
  <cols>
    <col width="30" customWidth="1" min="1" max="5"/>
  </cols>
  <sheetData>
    <row r="1" ht="17.25" customHeight="1">
      <c r="A1" s="11" t="inlineStr">
        <is>
          <t>Project Success Criteria &amp; Metrics</t>
        </is>
      </c>
    </row>
    <row r="2" ht="15" customHeight="1">
      <c r="A2" s="12" t="inlineStr">
        <is>
          <t>Metric Category</t>
        </is>
      </c>
      <c r="B2" s="12" t="inlineStr">
        <is>
          <t>Metric</t>
        </is>
      </c>
      <c r="C2" s="12" t="inlineStr">
        <is>
          <t>Target</t>
        </is>
      </c>
      <c r="D2" s="12" t="inlineStr">
        <is>
          <t>Current</t>
        </is>
      </c>
      <c r="E2" s="12" t="inlineStr">
        <is>
          <t>Status</t>
        </is>
      </c>
    </row>
    <row r="3" ht="15" customHeight="1">
      <c r="A3" t="inlineStr">
        <is>
          <t>Detection</t>
        </is>
      </c>
      <c r="B3" t="inlineStr">
        <is>
          <t>MTTD (Mean Time to Detect)</t>
        </is>
      </c>
      <c r="C3" t="inlineStr">
        <is>
          <t>&lt;5 minutes</t>
        </is>
      </c>
      <c r="D3" t="inlineStr">
        <is>
          <t>TBD</t>
        </is>
      </c>
      <c r="E3" s="6" t="inlineStr">
        <is>
          <t>Not Measured</t>
        </is>
      </c>
    </row>
    <row r="4" ht="15" customHeight="1">
      <c r="A4" t="inlineStr">
        <is>
          <t>Remediation</t>
        </is>
      </c>
      <c r="B4" t="inlineStr">
        <is>
          <t>MTTR (Mean Time to Remediate)</t>
        </is>
      </c>
      <c r="C4" t="inlineStr">
        <is>
          <t>&lt;5 minutes</t>
        </is>
      </c>
      <c r="D4" t="inlineStr">
        <is>
          <t>TBD</t>
        </is>
      </c>
      <c r="E4" s="6" t="inlineStr">
        <is>
          <t>Not Measured</t>
        </is>
      </c>
    </row>
    <row r="5" ht="15" customHeight="1">
      <c r="A5" t="inlineStr">
        <is>
          <t>Accuracy</t>
        </is>
      </c>
      <c r="B5" t="inlineStr">
        <is>
          <t>False Positive Rate</t>
        </is>
      </c>
      <c r="C5" t="inlineStr">
        <is>
          <t>&lt;5%</t>
        </is>
      </c>
      <c r="D5" t="inlineStr">
        <is>
          <t>TBD</t>
        </is>
      </c>
      <c r="E5" s="6" t="inlineStr">
        <is>
          <t>Not Measured</t>
        </is>
      </c>
    </row>
    <row r="6" ht="15" customHeight="1">
      <c r="A6" t="inlineStr">
        <is>
          <t>Coverage</t>
        </is>
      </c>
      <c r="B6" t="inlineStr">
        <is>
          <t>Detection Coverage (Critical)</t>
        </is>
      </c>
      <c r="C6" t="inlineStr">
        <is>
          <t>100%</t>
        </is>
      </c>
      <c r="D6" t="inlineStr">
        <is>
          <t>TBD</t>
        </is>
      </c>
      <c r="E6" s="6" t="inlineStr">
        <is>
          <t>Not Measured</t>
        </is>
      </c>
    </row>
    <row r="7" ht="15" customHeight="1">
      <c r="A7" t="inlineStr">
        <is>
          <t>Prevention</t>
        </is>
      </c>
      <c r="B7" t="inlineStr">
        <is>
          <t>Pre-deployment Block Rate</t>
        </is>
      </c>
      <c r="C7" t="inlineStr">
        <is>
          <t>&gt;80%</t>
        </is>
      </c>
      <c r="D7" t="inlineStr">
        <is>
          <t>TBD</t>
        </is>
      </c>
      <c r="E7" s="6" t="inlineStr">
        <is>
          <t>Not Measured</t>
        </is>
      </c>
    </row>
    <row r="8" ht="15" customHeight="1">
      <c r="A8" t="inlineStr">
        <is>
          <t>Performance</t>
        </is>
      </c>
      <c r="B8" t="inlineStr">
        <is>
          <t>IaC Scan Time (GitHub Actions)</t>
        </is>
      </c>
      <c r="C8" t="inlineStr">
        <is>
          <t>&lt;5 minutes</t>
        </is>
      </c>
      <c r="D8" t="inlineStr">
        <is>
          <t>TBD</t>
        </is>
      </c>
      <c r="E8" s="6" t="inlineStr">
        <is>
          <t>Not Measured</t>
        </is>
      </c>
    </row>
    <row r="9" ht="15" customHeight="1">
      <c r="A9" t="inlineStr">
        <is>
          <t>Operational</t>
        </is>
      </c>
      <c r="B9" t="inlineStr">
        <is>
          <t>System Availability</t>
        </is>
      </c>
      <c r="C9" t="inlineStr">
        <is>
          <t>&gt;99%</t>
        </is>
      </c>
      <c r="D9" t="inlineStr">
        <is>
          <t>TBD</t>
        </is>
      </c>
      <c r="E9" s="6" t="inlineStr">
        <is>
          <t>Not Measured</t>
        </is>
      </c>
    </row>
    <row r="10" ht="15" customHeight="1">
      <c r="A10" t="inlineStr">
        <is>
          <t>Cost</t>
        </is>
      </c>
      <c r="B10" t="inlineStr">
        <is>
          <t>Monthly AWS Infrastructure Cost</t>
        </is>
      </c>
      <c r="C10" t="inlineStr">
        <is>
          <t>&lt;€15</t>
        </is>
      </c>
      <c r="D10" t="inlineStr">
        <is>
          <t>€2.72</t>
        </is>
      </c>
      <c r="E10" s="4" t="inlineStr">
        <is>
          <t>On Track (18% of budget)</t>
        </is>
      </c>
    </row>
    <row r="11" ht="15" customHeight="1">
      <c r="A11" t="inlineStr">
        <is>
          <t>Feedback Loop</t>
        </is>
      </c>
      <c r="B11" t="inlineStr">
        <is>
          <t>Auto-Generated OPA Policies</t>
        </is>
      </c>
      <c r="C11" t="inlineStr">
        <is>
          <t>&gt;5 policies</t>
        </is>
      </c>
      <c r="D11" t="inlineStr">
        <is>
          <t>0</t>
        </is>
      </c>
      <c r="E11" s="5" t="inlineStr">
        <is>
          <t>Not Started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A1" sqref="A1"/>
    </sheetView>
  </sheetViews>
  <sheetFormatPr baseColWidth="8" defaultColWidth="8.7109375" defaultRowHeight="15"/>
  <cols>
    <col width="8" customWidth="1" min="1" max="1"/>
    <col width="35" customWidth="1" min="2" max="6"/>
  </cols>
  <sheetData>
    <row r="1" ht="17.25" customHeight="1">
      <c r="A1" s="11" t="inlineStr">
        <is>
          <t>10 Attack Scenarios for Testing (Phase 5)</t>
        </is>
      </c>
    </row>
    <row r="2" ht="15" customHeight="1">
      <c r="A2" s="12" t="inlineStr">
        <is>
          <t>ID</t>
        </is>
      </c>
      <c r="B2" s="12" t="inlineStr">
        <is>
          <t>Scenario Name</t>
        </is>
      </c>
      <c r="C2" s="12" t="inlineStr">
        <is>
          <t>Description</t>
        </is>
      </c>
      <c r="D2" s="12" t="inlineStr">
        <is>
          <t>Detection Method</t>
        </is>
      </c>
      <c r="E2" s="12" t="inlineStr">
        <is>
          <t>Remediation Method</t>
        </is>
      </c>
      <c r="F2" s="12" t="inlineStr">
        <is>
          <t>Target Metric</t>
        </is>
      </c>
    </row>
    <row r="3" ht="15" customHeight="1">
      <c r="A3" t="inlineStr">
        <is>
          <t>S1</t>
        </is>
      </c>
      <c r="B3" t="inlineStr">
        <is>
          <t>Wildcard IAM Policy</t>
        </is>
      </c>
      <c r="C3" t="inlineStr">
        <is>
          <t>Deploy wildcard (*) IAM policy via Terraform</t>
        </is>
      </c>
      <c r="D3" t="inlineStr">
        <is>
          <t>AWS Config Rule + Security Hub</t>
        </is>
      </c>
      <c r="E3" t="inlineStr">
        <is>
          <t>Lambda automatic removal</t>
        </is>
      </c>
      <c r="F3" t="inlineStr">
        <is>
          <t>MTTD &lt;5min, MTTR &lt;5min</t>
        </is>
      </c>
    </row>
    <row r="4" ht="15" customHeight="1">
      <c r="A4" t="inlineStr">
        <is>
          <t>S2</t>
        </is>
      </c>
      <c r="B4" t="inlineStr">
        <is>
          <t>Overpermissive Role</t>
        </is>
      </c>
      <c r="C4" t="inlineStr">
        <is>
          <t>Create IAM role with Admin-like permissions</t>
        </is>
      </c>
      <c r="D4" t="inlineStr">
        <is>
          <t>Config Rule trigger</t>
        </is>
      </c>
      <c r="E4" t="inlineStr">
        <is>
          <t>Lambda remediation with approval</t>
        </is>
      </c>
      <c r="F4" t="inlineStr">
        <is>
          <t>MTTR &lt;5min after approval</t>
        </is>
      </c>
    </row>
    <row r="5" ht="15" customHeight="1">
      <c r="A5" t="inlineStr">
        <is>
          <t>S3</t>
        </is>
      </c>
      <c r="B5" t="inlineStr">
        <is>
          <t>Unrotated Access Keys</t>
        </is>
      </c>
      <c r="C5" t="inlineStr">
        <is>
          <t>Simulate IAM access keys &gt;90 days old</t>
        </is>
      </c>
      <c r="D5" t="inlineStr">
        <is>
          <t>Config compliance detection</t>
        </is>
      </c>
      <c r="E5" t="inlineStr">
        <is>
          <t>Lambda auto-disable</t>
        </is>
      </c>
      <c r="F5" t="inlineStr">
        <is>
          <t>Detection coverage</t>
        </is>
      </c>
    </row>
    <row r="6" ht="15" customHeight="1">
      <c r="A6" t="inlineStr">
        <is>
          <t>S4</t>
        </is>
      </c>
      <c r="B6" t="inlineStr">
        <is>
          <t>MFA Disabled</t>
        </is>
      </c>
      <c r="C6" t="inlineStr">
        <is>
          <t>Disable MFA on IAM user account</t>
        </is>
      </c>
      <c r="D6" t="inlineStr">
        <is>
          <t>Security Hub alert</t>
        </is>
      </c>
      <c r="E6" t="inlineStr">
        <is>
          <t>Manual remediation + alert</t>
        </is>
      </c>
      <c r="F6" t="inlineStr">
        <is>
          <t>MTTD &lt;5min</t>
        </is>
      </c>
    </row>
    <row r="7" ht="15" customHeight="1">
      <c r="A7" t="inlineStr">
        <is>
          <t>S5</t>
        </is>
      </c>
      <c r="B7" t="inlineStr">
        <is>
          <t>External Account Access</t>
        </is>
      </c>
      <c r="C7" t="inlineStr">
        <is>
          <t>Grant external account access to S3/IAM role</t>
        </is>
      </c>
      <c r="D7" t="inlineStr">
        <is>
          <t>IAM Access Analyzer</t>
        </is>
      </c>
      <c r="E7" t="inlineStr">
        <is>
          <t>Lambda remediation + approval</t>
        </is>
      </c>
      <c r="F7" t="inlineStr">
        <is>
          <t>Analyzer detection</t>
        </is>
      </c>
    </row>
    <row r="8" ht="15" customHeight="1">
      <c r="A8" t="inlineStr">
        <is>
          <t>S6</t>
        </is>
      </c>
      <c r="B8" t="inlineStr">
        <is>
          <t>S3 Public Access</t>
        </is>
      </c>
      <c r="C8" t="inlineStr">
        <is>
          <t>Make S3 bucket publicly accessible</t>
        </is>
      </c>
      <c r="D8" t="inlineStr">
        <is>
          <t>Config Rule + Security Hub</t>
        </is>
      </c>
      <c r="E8" t="inlineStr">
        <is>
          <t>Lambda auto-block public access</t>
        </is>
      </c>
      <c r="F8" t="inlineStr">
        <is>
          <t>MTTR &lt;5min</t>
        </is>
      </c>
    </row>
    <row r="9" ht="15" customHeight="1">
      <c r="A9" t="inlineStr">
        <is>
          <t>S7</t>
        </is>
      </c>
      <c r="B9" t="inlineStr">
        <is>
          <t>Assume Role Trust Policy</t>
        </is>
      </c>
      <c r="C9" t="inlineStr">
        <is>
          <t>Create overly permissive AssumeRole trust policy</t>
        </is>
      </c>
      <c r="D9" t="inlineStr">
        <is>
          <t>Custom Config Rule</t>
        </is>
      </c>
      <c r="E9" t="inlineStr">
        <is>
          <t>Lambda policy restriction</t>
        </is>
      </c>
      <c r="F9" t="inlineStr">
        <is>
          <t>Detection coverage</t>
        </is>
      </c>
    </row>
    <row r="10" ht="15" customHeight="1">
      <c r="A10" t="inlineStr">
        <is>
          <t>S8</t>
        </is>
      </c>
      <c r="B10" t="inlineStr">
        <is>
          <t>Inline Policy Violations</t>
        </is>
      </c>
      <c r="C10" t="inlineStr">
        <is>
          <t>Attach inline policy with excessive permissions</t>
        </is>
      </c>
      <c r="D10" t="inlineStr">
        <is>
          <t>Security Hub finding</t>
        </is>
      </c>
      <c r="E10" t="inlineStr">
        <is>
          <t>Lambda policy removal</t>
        </is>
      </c>
      <c r="F10" t="inlineStr">
        <is>
          <t>MTTD &lt;5min</t>
        </is>
      </c>
    </row>
    <row r="11" ht="15" customHeight="1">
      <c r="A11" t="inlineStr">
        <is>
          <t>S9</t>
        </is>
      </c>
      <c r="B11" t="inlineStr">
        <is>
          <t>CloudTrail Logging Gaps</t>
        </is>
      </c>
      <c r="C11" t="inlineStr">
        <is>
          <t>Disable CloudTrail in region</t>
        </is>
      </c>
      <c r="D11" t="inlineStr">
        <is>
          <t>Config Rule monitoring</t>
        </is>
      </c>
      <c r="E11" t="inlineStr">
        <is>
          <t>Lambda auto-re-enable</t>
        </is>
      </c>
      <c r="F11" t="inlineStr">
        <is>
          <t>System health monitoring</t>
        </is>
      </c>
    </row>
    <row r="12" ht="15" customHeight="1">
      <c r="A12" t="inlineStr">
        <is>
          <t>S10</t>
        </is>
      </c>
      <c r="B12" t="inlineStr">
        <is>
          <t>Security Hub Integration</t>
        </is>
      </c>
      <c r="C12" t="inlineStr">
        <is>
          <t>Test Security Hub aggregation failure</t>
        </is>
      </c>
      <c r="D12" t="inlineStr">
        <is>
          <t>CloudWatch alarm</t>
        </is>
      </c>
      <c r="E12" t="inlineStr">
        <is>
          <t>Manual verification + fix</t>
        </is>
      </c>
      <c r="F12" t="inlineStr">
        <is>
          <t>System availability &gt;99%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zoomScaleNormal="100" workbookViewId="0">
      <selection activeCell="A1" sqref="A1"/>
    </sheetView>
  </sheetViews>
  <sheetFormatPr baseColWidth="8" defaultColWidth="8.7109375" defaultRowHeight="15"/>
  <cols>
    <col width="30" customWidth="1" min="1" max="1"/>
    <col width="18" customWidth="1" min="2" max="2"/>
    <col width="35" customWidth="1" min="3" max="5"/>
  </cols>
  <sheetData>
    <row r="1" ht="17.25" customHeight="1">
      <c r="A1" s="11" t="inlineStr">
        <is>
          <t>Budget &amp; Cost Tracking (Target: &lt;€15/month)</t>
        </is>
      </c>
    </row>
    <row r="2" ht="15" customHeight="1">
      <c r="A2" s="12" t="inlineStr">
        <is>
          <t>Service</t>
        </is>
      </c>
      <c r="B2" s="12" t="inlineStr">
        <is>
          <t>Monthly Cost (€)</t>
        </is>
      </c>
      <c r="C2" s="12" t="inlineStr">
        <is>
          <t>Phase Introduced</t>
        </is>
      </c>
      <c r="D2" s="12" t="inlineStr">
        <is>
          <t>Optimization Strategy</t>
        </is>
      </c>
      <c r="E2" s="12" t="inlineStr">
        <is>
          <t>Notes</t>
        </is>
      </c>
    </row>
    <row r="3" ht="15" customHeight="1">
      <c r="A3" t="inlineStr">
        <is>
          <t>CloudTrail</t>
        </is>
      </c>
      <c r="B3" t="n">
        <v>1.8</v>
      </c>
      <c r="C3" t="inlineStr">
        <is>
          <t>Phase 1</t>
        </is>
      </c>
      <c r="D3" t="inlineStr">
        <is>
          <t>Single trail, management events only</t>
        </is>
      </c>
      <c r="E3" t="inlineStr">
        <is>
          <t>DEPLOYED: Single multi-region trail, management events only</t>
        </is>
      </c>
    </row>
    <row r="4" ht="15" customHeight="1">
      <c r="A4" t="inlineStr">
        <is>
          <t>S3 Storage</t>
        </is>
      </c>
      <c r="B4" t="n">
        <v>0.02</v>
      </c>
      <c r="C4" t="inlineStr">
        <is>
          <t>Phase 1</t>
        </is>
      </c>
      <c r="D4" t="inlineStr">
        <is>
          <t>Lifecycle policies (30→90→180→365 days)</t>
        </is>
      </c>
      <c r="E4" t="inlineStr">
        <is>
          <t>DEPLOYED: 2 buckets with lifecycle policies (30→90→180→365 days)</t>
        </is>
      </c>
    </row>
    <row r="5" ht="15" customHeight="1">
      <c r="A5" t="inlineStr">
        <is>
          <t>KMS Key</t>
        </is>
      </c>
      <c r="B5" t="inlineStr">
        <is>
          <t>€0.90</t>
        </is>
      </c>
      <c r="C5" t="inlineStr">
        <is>
          <t>Phase 1</t>
        </is>
      </c>
      <c r="D5" t="inlineStr">
        <is>
          <t>Single CMK with auto-rotation</t>
        </is>
      </c>
      <c r="E5" t="inlineStr">
        <is>
          <t>Required for encryption</t>
        </is>
      </c>
    </row>
    <row r="6" ht="15" customHeight="1">
      <c r="A6" t="inlineStr">
        <is>
          <t>AWS Config</t>
        </is>
      </c>
      <c r="B6" t="inlineStr">
        <is>
          <t>€0.00</t>
        </is>
      </c>
      <c r="C6" t="inlineStr">
        <is>
          <t>Phase 1</t>
        </is>
      </c>
      <c r="D6" t="inlineStr">
        <is>
          <t>Free tier (first 1000 config items)</t>
        </is>
      </c>
      <c r="E6" t="inlineStr">
        <is>
          <t>Stay under free tier</t>
        </is>
      </c>
    </row>
    <row r="7" ht="15" customHeight="1">
      <c r="A7" t="inlineStr">
        <is>
          <t>Security Hub</t>
        </is>
      </c>
      <c r="B7" t="inlineStr">
        <is>
          <t>€0.00</t>
        </is>
      </c>
      <c r="C7" t="inlineStr">
        <is>
          <t>Phase 1</t>
        </is>
      </c>
      <c r="D7" t="inlineStr">
        <is>
          <t>Free for 30 days, then optimize</t>
        </is>
      </c>
      <c r="E7" t="inlineStr">
        <is>
          <t>Monitor cost after trial</t>
        </is>
      </c>
    </row>
    <row r="8" ht="15" customHeight="1">
      <c r="A8" t="inlineStr">
        <is>
          <t>Lambda</t>
        </is>
      </c>
      <c r="B8" t="inlineStr">
        <is>
          <t>€0.00</t>
        </is>
      </c>
      <c r="C8" t="inlineStr">
        <is>
          <t>Phase 2</t>
        </is>
      </c>
      <c r="D8" t="inlineStr">
        <is>
          <t>Free tier (1M requests/month)</t>
        </is>
      </c>
      <c r="E8" t="inlineStr">
        <is>
          <t>Low invocation volume</t>
        </is>
      </c>
    </row>
    <row r="9" ht="15" customHeight="1">
      <c r="A9" t="inlineStr">
        <is>
          <t>EventBridge</t>
        </is>
      </c>
      <c r="B9" t="inlineStr">
        <is>
          <t>€0.00</t>
        </is>
      </c>
      <c r="C9" t="inlineStr">
        <is>
          <t>Phase 2</t>
        </is>
      </c>
      <c r="D9" t="inlineStr">
        <is>
          <t>Free tier</t>
        </is>
      </c>
      <c r="E9" t="inlineStr">
        <is>
          <t>Event routing</t>
        </is>
      </c>
    </row>
    <row r="10" ht="15" customHeight="1">
      <c r="A10" t="inlineStr">
        <is>
          <t>DynamoDB</t>
        </is>
      </c>
      <c r="B10" t="inlineStr">
        <is>
          <t>€0.00</t>
        </is>
      </c>
      <c r="C10" t="inlineStr">
        <is>
          <t>Phase 2</t>
        </is>
      </c>
      <c r="D10" t="inlineStr">
        <is>
          <t>Free tier (25GB, 200M requests)</t>
        </is>
      </c>
      <c r="E10" t="inlineStr">
        <is>
          <t>State tracking table</t>
        </is>
      </c>
    </row>
    <row r="11" ht="15" customHeight="1">
      <c r="A11" t="inlineStr">
        <is>
          <t>SNS</t>
        </is>
      </c>
      <c r="B11" t="inlineStr">
        <is>
          <t>€0.00</t>
        </is>
      </c>
      <c r="C11" t="inlineStr">
        <is>
          <t>Phase 2</t>
        </is>
      </c>
      <c r="D11" t="inlineStr">
        <is>
          <t>Free tier (1000 emails)</t>
        </is>
      </c>
      <c r="E11" t="inlineStr">
        <is>
          <t>Approval notifications</t>
        </is>
      </c>
    </row>
    <row r="12" ht="15" customHeight="1">
      <c r="A12" t="inlineStr">
        <is>
          <t>CloudWatch Logs</t>
        </is>
      </c>
      <c r="B12" t="inlineStr">
        <is>
          <t>€0.45</t>
        </is>
      </c>
      <c r="C12" t="inlineStr">
        <is>
          <t>Phase 2</t>
        </is>
      </c>
      <c r="D12" t="inlineStr">
        <is>
          <t>Limited retention (7-14 days)</t>
        </is>
      </c>
      <c r="E12" t="inlineStr">
        <is>
          <t>First 5GB free</t>
        </is>
      </c>
    </row>
    <row r="13" ht="15" customHeight="1">
      <c r="A13" t="inlineStr">
        <is>
          <t>GitHub Actions</t>
        </is>
      </c>
      <c r="B13" t="inlineStr">
        <is>
          <t>€0.00</t>
        </is>
      </c>
      <c r="C13" t="inlineStr">
        <is>
          <t>Phase 3</t>
        </is>
      </c>
      <c r="D13" t="inlineStr">
        <is>
          <t>Free for public repos</t>
        </is>
      </c>
      <c r="E13" t="inlineStr">
        <is>
          <t>2000 minutes/month free</t>
        </is>
      </c>
    </row>
    <row r="14" ht="15" customHeight="1">
      <c r="A14" t="inlineStr">
        <is>
          <t>BridgeCrew API</t>
        </is>
      </c>
      <c r="B14" t="inlineStr">
        <is>
          <t>€0.00</t>
        </is>
      </c>
      <c r="C14" t="inlineStr">
        <is>
          <t>Phase 3</t>
        </is>
      </c>
      <c r="D14" t="inlineStr">
        <is>
          <t>Free tier</t>
        </is>
      </c>
      <c r="E14" t="inlineStr">
        <is>
          <t>Limited API calls</t>
        </is>
      </c>
    </row>
    <row r="15" ht="15" customHeight="1">
      <c r="A15" t="inlineStr">
        <is>
          <t>Grafana (EC2 t2.micro)</t>
        </is>
      </c>
      <c r="B15" t="inlineStr">
        <is>
          <t>€0.00</t>
        </is>
      </c>
      <c r="C15" t="inlineStr">
        <is>
          <t>Phase 4</t>
        </is>
      </c>
      <c r="D15" t="inlineStr">
        <is>
          <t>Free tier eligible (750hr/month)</t>
        </is>
      </c>
      <c r="E15" t="inlineStr">
        <is>
          <t>12 months free tier</t>
        </is>
      </c>
    </row>
    <row r="16" ht="15" customHeight="1">
      <c r="A16" t="inlineStr">
        <is>
          <t>IAM Access Analyzer</t>
        </is>
      </c>
      <c r="B16" t="inlineStr">
        <is>
          <t>€0.00</t>
        </is>
      </c>
      <c r="C16" t="inlineStr">
        <is>
          <t>All Phases</t>
        </is>
      </c>
      <c r="D16" t="inlineStr">
        <is>
          <t>No additional cost</t>
        </is>
      </c>
      <c r="E16" t="inlineStr">
        <is>
          <t>Included with account</t>
        </is>
      </c>
    </row>
    <row r="18" ht="15" customHeight="1">
      <c r="A18" s="17" t="inlineStr">
        <is>
          <t>TOTAL CURRENT (Phase 1)</t>
        </is>
      </c>
      <c r="B18" s="17">
        <f>SUM(B3:B16)</f>
        <v/>
      </c>
    </row>
    <row r="19" ht="15" customHeight="1">
      <c r="A19" s="17" t="inlineStr">
        <is>
          <t>BUDGET LIMIT (Monthly)</t>
        </is>
      </c>
      <c r="B19" s="7" t="n">
        <v>15</v>
      </c>
    </row>
    <row r="20" ht="15" customHeight="1">
      <c r="A20" s="17" t="inlineStr">
        <is>
          <t>REMAINING BUDGET</t>
        </is>
      </c>
      <c r="B20" s="17">
        <f>B19-B18</f>
        <v/>
      </c>
    </row>
    <row r="22" ht="15" customHeight="1">
      <c r="A22" s="17" t="inlineStr">
        <is>
          <t>BILLING ALERTS CONFIGURED</t>
        </is>
      </c>
    </row>
    <row r="23" ht="15" customHeight="1">
      <c r="A23" t="inlineStr">
        <is>
          <t>Alert at €5 (33% budget)</t>
        </is>
      </c>
    </row>
    <row r="24" ht="15" customHeight="1">
      <c r="A24" t="inlineStr">
        <is>
          <t>Alert at €10 (67% budget)</t>
        </is>
      </c>
    </row>
    <row r="25" ht="15" customHeight="1">
      <c r="A25" t="inlineStr">
        <is>
          <t>Alert at €14 (93% budget - critical)</t>
        </is>
      </c>
    </row>
    <row r="27">
      <c r="A27" s="18" t="inlineStr">
        <is>
          <t>PHASE 1 ACTUAL SPEND ANALYSIS</t>
        </is>
      </c>
    </row>
    <row r="28">
      <c r="A28" s="17" t="inlineStr">
        <is>
          <t>Deployed Services</t>
        </is>
      </c>
      <c r="B28" s="17" t="inlineStr">
        <is>
          <t>Monthly Cost (€)</t>
        </is>
      </c>
      <c r="C28" s="17" t="inlineStr">
        <is>
          <t>Annual (€)</t>
        </is>
      </c>
      <c r="D28" s="17" t="inlineStr">
        <is>
          <t>Status</t>
        </is>
      </c>
    </row>
    <row r="29">
      <c r="A29" t="inlineStr">
        <is>
          <t>KMS Key (1x CMK)</t>
        </is>
      </c>
      <c r="B29" t="n">
        <v>0.9</v>
      </c>
      <c r="C29">
        <f>B29*12</f>
        <v/>
      </c>
      <c r="D29" t="inlineStr">
        <is>
          <t>LIVE</t>
        </is>
      </c>
    </row>
    <row r="30">
      <c r="A30" t="inlineStr">
        <is>
          <t>S3 Storage (2x buckets)</t>
        </is>
      </c>
      <c r="B30" t="n">
        <v>0.02</v>
      </c>
      <c r="C30">
        <f>B30*12</f>
        <v/>
      </c>
      <c r="D30" t="inlineStr">
        <is>
          <t>LIVE</t>
        </is>
      </c>
    </row>
    <row r="31">
      <c r="A31" t="inlineStr">
        <is>
          <t>CloudTrail (multi-region)</t>
        </is>
      </c>
      <c r="B31" t="n">
        <v>1.8</v>
      </c>
      <c r="C31">
        <f>B31*12</f>
        <v/>
      </c>
      <c r="D31" t="inlineStr">
        <is>
          <t>LIVE</t>
        </is>
      </c>
    </row>
    <row r="32">
      <c r="A32" s="17" t="inlineStr">
        <is>
          <t>ACTUAL PHASE 1 TOTAL</t>
        </is>
      </c>
      <c r="B32" s="17">
        <f>SUM(B29:B31)</f>
        <v/>
      </c>
      <c r="C32" s="17">
        <f>B32*12</f>
        <v/>
      </c>
    </row>
    <row r="34">
      <c r="A34" s="17" t="inlineStr">
        <is>
          <t>Budget Remaining</t>
        </is>
      </c>
      <c r="B34" s="8">
        <f>15-B32</f>
        <v/>
      </c>
    </row>
  </sheetData>
  <mergeCells count="3">
    <mergeCell ref="A1:E1"/>
    <mergeCell ref="A22:B22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selection activeCell="A1" sqref="A1"/>
    </sheetView>
  </sheetViews>
  <sheetFormatPr baseColWidth="8" defaultColWidth="8.7109375" defaultRowHeight="15"/>
  <cols>
    <col width="30" customWidth="1" min="1" max="4"/>
  </cols>
  <sheetData>
    <row r="1" ht="17.25" customHeight="1">
      <c r="A1" s="11" t="inlineStr">
        <is>
          <t>IAM-Secure-Gate Technology Stack</t>
        </is>
      </c>
    </row>
    <row r="2" ht="15" customHeight="1">
      <c r="A2" s="12" t="inlineStr">
        <is>
          <t>Category</t>
        </is>
      </c>
      <c r="B2" s="12" t="inlineStr">
        <is>
          <t>Technology</t>
        </is>
      </c>
      <c r="C2" s="12" t="inlineStr">
        <is>
          <t>Purpose</t>
        </is>
      </c>
      <c r="D2" s="12" t="inlineStr">
        <is>
          <t>Phase</t>
        </is>
      </c>
    </row>
    <row r="3" ht="15" customHeight="1">
      <c r="A3" t="inlineStr">
        <is>
          <t>AWS Services</t>
        </is>
      </c>
      <c r="B3" t="inlineStr">
        <is>
          <t>CloudTrail</t>
        </is>
      </c>
      <c r="C3" t="inlineStr">
        <is>
          <t>Audit logging for all IAM events</t>
        </is>
      </c>
      <c r="D3" t="inlineStr">
        <is>
          <t>Phase 1</t>
        </is>
      </c>
    </row>
    <row r="4" ht="15" customHeight="1">
      <c r="A4" t="inlineStr">
        <is>
          <t>AWS Services</t>
        </is>
      </c>
      <c r="B4" t="inlineStr">
        <is>
          <t>AWS Config</t>
        </is>
      </c>
      <c r="C4" t="inlineStr">
        <is>
          <t>Compliance checking and config rules</t>
        </is>
      </c>
      <c r="D4" t="inlineStr">
        <is>
          <t>Phase 1</t>
        </is>
      </c>
    </row>
    <row r="5" ht="15" customHeight="1">
      <c r="A5" t="inlineStr">
        <is>
          <t>AWS Services</t>
        </is>
      </c>
      <c r="B5" t="inlineStr">
        <is>
          <t>IAM Access Analyzer</t>
        </is>
      </c>
      <c r="C5" t="inlineStr">
        <is>
          <t>External access detection</t>
        </is>
      </c>
      <c r="D5" t="inlineStr">
        <is>
          <t>Phase 1</t>
        </is>
      </c>
    </row>
    <row r="6" ht="15" customHeight="1">
      <c r="A6" t="inlineStr">
        <is>
          <t>AWS Services</t>
        </is>
      </c>
      <c r="B6" t="inlineStr">
        <is>
          <t>Security Hub</t>
        </is>
      </c>
      <c r="C6" t="inlineStr">
        <is>
          <t>Central security dashboard</t>
        </is>
      </c>
      <c r="D6" t="inlineStr">
        <is>
          <t>Phase 1</t>
        </is>
      </c>
    </row>
    <row r="7" ht="15" customHeight="1">
      <c r="A7" t="inlineStr">
        <is>
          <t>AWS Services</t>
        </is>
      </c>
      <c r="B7" t="inlineStr">
        <is>
          <t>EventBridge</t>
        </is>
      </c>
      <c r="C7" t="inlineStr">
        <is>
          <t>Event routing to remediation</t>
        </is>
      </c>
      <c r="D7" t="inlineStr">
        <is>
          <t>Phase 2</t>
        </is>
      </c>
    </row>
    <row r="8" ht="15" customHeight="1">
      <c r="A8" t="inlineStr">
        <is>
          <t>AWS Services</t>
        </is>
      </c>
      <c r="B8" t="inlineStr">
        <is>
          <t>Lambda</t>
        </is>
      </c>
      <c r="C8" t="inlineStr">
        <is>
          <t>Serverless remediation functions</t>
        </is>
      </c>
      <c r="D8" t="inlineStr">
        <is>
          <t>Phase 2</t>
        </is>
      </c>
    </row>
    <row r="9" ht="15" customHeight="1">
      <c r="A9" t="inlineStr">
        <is>
          <t>AWS Services</t>
        </is>
      </c>
      <c r="B9" t="inlineStr">
        <is>
          <t>SNS</t>
        </is>
      </c>
      <c r="C9" t="inlineStr">
        <is>
          <t>Approval workflow notifications</t>
        </is>
      </c>
      <c r="D9" t="inlineStr">
        <is>
          <t>Phase 2</t>
        </is>
      </c>
    </row>
    <row r="10" ht="15" customHeight="1">
      <c r="A10" t="inlineStr">
        <is>
          <t>AWS Services</t>
        </is>
      </c>
      <c r="B10" t="inlineStr">
        <is>
          <t>DynamoDB</t>
        </is>
      </c>
      <c r="C10" t="inlineStr">
        <is>
          <t>State tracking for remediations</t>
        </is>
      </c>
      <c r="D10" t="inlineStr">
        <is>
          <t>Phase 2</t>
        </is>
      </c>
    </row>
    <row r="11" ht="15" customHeight="1">
      <c r="A11" t="inlineStr">
        <is>
          <t>AWS Services</t>
        </is>
      </c>
      <c r="B11" t="inlineStr">
        <is>
          <t>S3</t>
        </is>
      </c>
      <c r="C11" t="inlineStr">
        <is>
          <t>Log storage with lifecycle policies</t>
        </is>
      </c>
      <c r="D11" t="inlineStr">
        <is>
          <t>Phase 1</t>
        </is>
      </c>
    </row>
    <row r="12" ht="15" customHeight="1">
      <c r="A12" t="inlineStr">
        <is>
          <t>AWS Services</t>
        </is>
      </c>
      <c r="B12" t="inlineStr">
        <is>
          <t>KMS</t>
        </is>
      </c>
      <c r="C12" t="inlineStr">
        <is>
          <t>Encryption key management</t>
        </is>
      </c>
      <c r="D12" t="inlineStr">
        <is>
          <t>Phase 1</t>
        </is>
      </c>
    </row>
    <row r="13" ht="15" customHeight="1">
      <c r="A13" t="inlineStr">
        <is>
          <t>AWS Services</t>
        </is>
      </c>
      <c r="B13" t="inlineStr">
        <is>
          <t>CloudWatch</t>
        </is>
      </c>
      <c r="C13" t="inlineStr">
        <is>
          <t>Metrics and logging</t>
        </is>
      </c>
      <c r="D13" t="inlineStr">
        <is>
          <t>All Phases</t>
        </is>
      </c>
    </row>
    <row r="14" ht="15" customHeight="1">
      <c r="A14" t="inlineStr">
        <is>
          <t>IaC &amp; Version Control</t>
        </is>
      </c>
      <c r="B14" t="inlineStr">
        <is>
          <t>Terraform 1.5+</t>
        </is>
      </c>
      <c r="C14" t="inlineStr">
        <is>
          <t>Infrastructure as Code</t>
        </is>
      </c>
      <c r="D14" t="inlineStr">
        <is>
          <t>All Phases</t>
        </is>
      </c>
    </row>
    <row r="15" ht="15" customHeight="1">
      <c r="A15" t="inlineStr">
        <is>
          <t>IaC &amp; Version Control</t>
        </is>
      </c>
      <c r="B15" t="inlineStr">
        <is>
          <t>Git</t>
        </is>
      </c>
      <c r="C15" t="inlineStr">
        <is>
          <t>Version control</t>
        </is>
      </c>
      <c r="D15" t="inlineStr">
        <is>
          <t>All Phases</t>
        </is>
      </c>
    </row>
    <row r="16" ht="15" customHeight="1">
      <c r="A16" t="inlineStr">
        <is>
          <t>IaC &amp; Version Control</t>
        </is>
      </c>
      <c r="B16" t="inlineStr">
        <is>
          <t>GitHub</t>
        </is>
      </c>
      <c r="C16" t="inlineStr">
        <is>
          <t>Code repository and CI/CD</t>
        </is>
      </c>
      <c r="D16" t="inlineStr">
        <is>
          <t>Phase 3</t>
        </is>
      </c>
    </row>
    <row r="17" ht="15" customHeight="1">
      <c r="A17" t="inlineStr">
        <is>
          <t>Security Tools</t>
        </is>
      </c>
      <c r="B17" t="inlineStr">
        <is>
          <t>Checkov</t>
        </is>
      </c>
      <c r="C17" t="inlineStr">
        <is>
          <t>750+ IaC security policies</t>
        </is>
      </c>
      <c r="D17" t="inlineStr">
        <is>
          <t>Phase 3</t>
        </is>
      </c>
    </row>
    <row r="18" ht="15" customHeight="1">
      <c r="A18" t="inlineStr">
        <is>
          <t>Security Tools</t>
        </is>
      </c>
      <c r="B18" t="inlineStr">
        <is>
          <t>OPA (Open Policy Agent)</t>
        </is>
      </c>
      <c r="C18" t="inlineStr">
        <is>
          <t>Custom policy engine</t>
        </is>
      </c>
      <c r="D18" t="inlineStr">
        <is>
          <t>Phase 3-4</t>
        </is>
      </c>
    </row>
    <row r="19" ht="15" customHeight="1">
      <c r="A19" t="inlineStr">
        <is>
          <t>Security Tools</t>
        </is>
      </c>
      <c r="B19" t="inlineStr">
        <is>
          <t>Conftest</t>
        </is>
      </c>
      <c r="C19" t="inlineStr">
        <is>
          <t>Terraform plan validation</t>
        </is>
      </c>
      <c r="D19" t="inlineStr">
        <is>
          <t>Phase 3</t>
        </is>
      </c>
    </row>
    <row r="20" ht="15" customHeight="1">
      <c r="A20" t="inlineStr">
        <is>
          <t>Security Tools</t>
        </is>
      </c>
      <c r="B20" t="inlineStr">
        <is>
          <t>BridgeCrew API</t>
        </is>
      </c>
      <c r="C20" t="inlineStr">
        <is>
          <t>Severity scoring and intelligence</t>
        </is>
      </c>
      <c r="D20" t="inlineStr">
        <is>
          <t>Phase 3</t>
        </is>
      </c>
    </row>
    <row r="21" ht="15" customHeight="1">
      <c r="A21" t="inlineStr">
        <is>
          <t>CI/CD</t>
        </is>
      </c>
      <c r="B21" t="inlineStr">
        <is>
          <t>GitHub Actions</t>
        </is>
      </c>
      <c r="C21" t="inlineStr">
        <is>
          <t>PR security gate automation</t>
        </is>
      </c>
      <c r="D21" t="inlineStr">
        <is>
          <t>Phase 3</t>
        </is>
      </c>
    </row>
    <row r="22" ht="15" customHeight="1">
      <c r="A22" t="inlineStr">
        <is>
          <t>Monitoring</t>
        </is>
      </c>
      <c r="B22" t="inlineStr">
        <is>
          <t>Grafana</t>
        </is>
      </c>
      <c r="C22" t="inlineStr">
        <is>
          <t>Metrics dashboards and visualization</t>
        </is>
      </c>
      <c r="D22" t="inlineStr">
        <is>
          <t>Phase 4</t>
        </is>
      </c>
    </row>
    <row r="23" ht="15" customHeight="1">
      <c r="A23" t="inlineStr">
        <is>
          <t>Development</t>
        </is>
      </c>
      <c r="B23" t="inlineStr">
        <is>
          <t>PowerShell 7+</t>
        </is>
      </c>
      <c r="C23" t="inlineStr">
        <is>
          <t>Automation scripts (Windows)</t>
        </is>
      </c>
      <c r="D23" t="inlineStr">
        <is>
          <t>All Phases</t>
        </is>
      </c>
    </row>
    <row r="24" ht="15" customHeight="1">
      <c r="A24" t="inlineStr">
        <is>
          <t>Development</t>
        </is>
      </c>
      <c r="B24" t="inlineStr">
        <is>
          <t>Python 3.9+</t>
        </is>
      </c>
      <c r="C24" t="inlineStr">
        <is>
          <t>Lambda function development</t>
        </is>
      </c>
      <c r="D24" t="inlineStr">
        <is>
          <t>Phase 2-4</t>
        </is>
      </c>
    </row>
    <row r="25" ht="15" customHeight="1">
      <c r="A25" t="inlineStr">
        <is>
          <t>Development</t>
        </is>
      </c>
      <c r="B25" t="inlineStr">
        <is>
          <t>boto3 (AWS SDK)</t>
        </is>
      </c>
      <c r="C25" t="inlineStr">
        <is>
          <t>Python AWS API interactions</t>
        </is>
      </c>
      <c r="D25" t="inlineStr">
        <is>
          <t>Phase 2-4</t>
        </is>
      </c>
    </row>
    <row r="26" ht="15" customHeight="1">
      <c r="A26" t="inlineStr">
        <is>
          <t>Development</t>
        </is>
      </c>
      <c r="B26" t="inlineStr">
        <is>
          <t>AWS CLI</t>
        </is>
      </c>
      <c r="C26" t="inlineStr">
        <is>
          <t>Command-line operations</t>
        </is>
      </c>
      <c r="D26" t="inlineStr">
        <is>
          <t>All Phases</t>
        </is>
      </c>
    </row>
    <row r="27" ht="15" customHeight="1">
      <c r="A27" t="inlineStr">
        <is>
          <t>Development</t>
        </is>
      </c>
      <c r="B27" t="inlineStr">
        <is>
          <t>Visual Studio Code</t>
        </is>
      </c>
      <c r="C27" t="inlineStr">
        <is>
          <t>IDE for development</t>
        </is>
      </c>
      <c r="D27" t="inlineStr">
        <is>
          <t>All Phases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workbookViewId="0">
      <selection activeCell="A1" sqref="A1"/>
    </sheetView>
  </sheetViews>
  <sheetFormatPr baseColWidth="8" defaultColWidth="8.7109375" defaultRowHeight="15"/>
  <cols>
    <col width="35" customWidth="1" min="1" max="4"/>
  </cols>
  <sheetData>
    <row r="1" ht="17.25" customHeight="1">
      <c r="A1" s="11" t="inlineStr">
        <is>
          <t>Risk Assessment &amp; Mitigation Strategies</t>
        </is>
      </c>
    </row>
    <row r="2" ht="15" customHeight="1">
      <c r="A2" s="12" t="inlineStr">
        <is>
          <t>Risk</t>
        </is>
      </c>
      <c r="B2" s="12" t="inlineStr">
        <is>
          <t>Impact</t>
        </is>
      </c>
      <c r="C2" s="12" t="inlineStr">
        <is>
          <t>Mitigation</t>
        </is>
      </c>
      <c r="D2" s="12" t="inlineStr">
        <is>
          <t>Contingency</t>
        </is>
      </c>
    </row>
    <row r="3" ht="15" customHeight="1">
      <c r="A3" t="inlineStr">
        <is>
          <t>AWS cost overrun</t>
        </is>
      </c>
      <c r="B3" t="inlineStr">
        <is>
          <t>High - Could exceed budget</t>
        </is>
      </c>
      <c r="C3" t="inlineStr">
        <is>
          <t>Billing alerts at €5/€10/€14, S3 lifecycle policies, Free Tier optimization</t>
        </is>
      </c>
      <c r="D3" t="inlineStr">
        <is>
          <t>Reduce log retention to 7 days, use LocalStack for testing, request AWS credits</t>
        </is>
      </c>
    </row>
    <row r="4" ht="15" customHeight="1">
      <c r="A4" t="inlineStr">
        <is>
          <t>OPA/Rego learning curve</t>
        </is>
      </c>
      <c r="B4" t="inlineStr">
        <is>
          <t>Medium - Skill gap could delay Phase 3</t>
        </is>
      </c>
      <c r="C4" t="inlineStr">
        <is>
          <t>Start Phase 3 in Week 7 (parallel with Phase 2), dedicated learning time, supervisor guidance</t>
        </is>
      </c>
      <c r="D4" t="inlineStr">
        <is>
          <t>Use Checkov-only for Phase 3 MVP, defer custom OPA policies to Phase 4 stretch goal</t>
        </is>
      </c>
    </row>
    <row r="5" ht="15" customHeight="1">
      <c r="A5" t="inlineStr">
        <is>
          <t>API rate limits</t>
        </is>
      </c>
      <c r="B5" t="inlineStr">
        <is>
          <t>Medium - GitHub/AWS throttling</t>
        </is>
      </c>
      <c r="C5" t="inlineStr">
        <is>
          <t>Exponential backoff retry logic, intelligent caching, batch operations</t>
        </is>
      </c>
      <c r="D5" t="inlineStr">
        <is>
          <t>Reduce EventBridge rule frequency, implement queue-based processing</t>
        </is>
      </c>
    </row>
    <row r="6" ht="15" customHeight="1">
      <c r="A6" t="inlineStr">
        <is>
          <t>Time constraints / scope creep</t>
        </is>
      </c>
      <c r="B6" t="inlineStr">
        <is>
          <t>High - 20 weeks is tight</t>
        </is>
      </c>
      <c r="C6" t="inlineStr">
        <is>
          <t>2-week buffer built into timeline, weekly supervisor check-ins, strict MVP focus per phase</t>
        </is>
      </c>
      <c r="D6" t="inlineStr">
        <is>
          <t>Descope to 3 core misconfiguration types, defer ML false-positive reduction to future work</t>
        </is>
      </c>
    </row>
    <row r="7" ht="15" customHeight="1">
      <c r="A7" t="inlineStr">
        <is>
          <t>AWS service availability</t>
        </is>
      </c>
      <c r="B7" t="inlineStr">
        <is>
          <t>Low - Regional outages</t>
        </is>
      </c>
      <c r="C7" t="inlineStr">
        <is>
          <t>Multi-region architecture design, CloudWatch alarms for service health</t>
        </is>
      </c>
      <c r="D7" t="inlineStr">
        <is>
          <t>Local testing environment with mocked AWS services, documentation of workarounds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zoomScaleNormal="100" workbookViewId="0">
      <selection activeCell="A1" sqref="A1"/>
    </sheetView>
  </sheetViews>
  <sheetFormatPr baseColWidth="8" defaultColWidth="8.7109375" defaultRowHeight="15"/>
  <cols>
    <col width="20" customWidth="1" min="1" max="1"/>
    <col width="40" customWidth="1" min="2" max="2"/>
    <col width="20" customWidth="1" min="3" max="5"/>
  </cols>
  <sheetData>
    <row r="1" ht="17.45" customHeight="1">
      <c r="A1" s="11" t="inlineStr">
        <is>
          <t>Current Deployment State (As of 2025-12-20)</t>
        </is>
      </c>
    </row>
    <row r="4">
      <c r="A4" s="12" t="inlineStr">
        <is>
          <t>Resource Type</t>
        </is>
      </c>
      <c r="B4" s="12" t="inlineStr">
        <is>
          <t>Resource Name</t>
        </is>
      </c>
      <c r="C4" s="12" t="inlineStr">
        <is>
          <t>Module</t>
        </is>
      </c>
      <c r="D4" s="12" t="inlineStr">
        <is>
          <t>Status</t>
        </is>
      </c>
      <c r="E4" s="12" t="inlineStr">
        <is>
          <t>Notes</t>
        </is>
      </c>
    </row>
    <row r="5">
      <c r="A5" t="inlineStr">
        <is>
          <t>Data Source</t>
        </is>
      </c>
      <c r="B5" t="inlineStr">
        <is>
          <t>aws_caller_identity.current</t>
        </is>
      </c>
      <c r="C5" t="inlineStr">
        <is>
          <t>root</t>
        </is>
      </c>
      <c r="D5" s="4" t="inlineStr">
        <is>
          <t>DEPLOYED</t>
        </is>
      </c>
      <c r="E5" t="inlineStr">
        <is>
          <t>Account information</t>
        </is>
      </c>
    </row>
    <row r="6">
      <c r="A6" t="inlineStr">
        <is>
          <t>Data Source</t>
        </is>
      </c>
      <c r="B6" t="inlineStr">
        <is>
          <t>aws_region.current</t>
        </is>
      </c>
      <c r="C6" t="inlineStr">
        <is>
          <t>root</t>
        </is>
      </c>
      <c r="D6" s="4" t="inlineStr">
        <is>
          <t>DEPLOYED</t>
        </is>
      </c>
      <c r="E6" t="inlineStr">
        <is>
          <t>Current region</t>
        </is>
      </c>
    </row>
    <row r="7">
      <c r="A7" t="inlineStr">
        <is>
          <t>KMS Key</t>
        </is>
      </c>
      <c r="B7" t="inlineStr">
        <is>
          <t>aws_kms_key.logs</t>
        </is>
      </c>
      <c r="C7" t="inlineStr">
        <is>
          <t>foundation</t>
        </is>
      </c>
      <c r="D7" s="4" t="inlineStr">
        <is>
          <t>DEPLOYED</t>
        </is>
      </c>
      <c r="E7" t="inlineStr">
        <is>
          <t>Customer-managed key with auto-rotation</t>
        </is>
      </c>
    </row>
    <row r="8">
      <c r="A8" t="inlineStr">
        <is>
          <t>KMS Alias</t>
        </is>
      </c>
      <c r="B8" t="inlineStr">
        <is>
          <t>aws_kms_alias.logs</t>
        </is>
      </c>
      <c r="C8" t="inlineStr">
        <is>
          <t>foundation</t>
        </is>
      </c>
      <c r="D8" s="4" t="inlineStr">
        <is>
          <t>DEPLOYED</t>
        </is>
      </c>
      <c r="E8" t="inlineStr">
        <is>
          <t>Alias for easy key reference</t>
        </is>
      </c>
    </row>
    <row r="9">
      <c r="A9" t="inlineStr">
        <is>
          <t>KMS Policy</t>
        </is>
      </c>
      <c r="B9" t="inlineStr">
        <is>
          <t>aws_kms_key_policy.logs</t>
        </is>
      </c>
      <c r="C9" t="inlineStr">
        <is>
          <t>foundation</t>
        </is>
      </c>
      <c r="D9" s="4" t="inlineStr">
        <is>
          <t>DEPLOYED</t>
        </is>
      </c>
      <c r="E9" t="inlineStr">
        <is>
          <t>Access control for KMS key</t>
        </is>
      </c>
    </row>
    <row r="10">
      <c r="A10" t="inlineStr">
        <is>
          <t>S3 Bucket</t>
        </is>
      </c>
      <c r="B10" t="inlineStr">
        <is>
          <t>aws_s3_bucket.cloudtrail</t>
        </is>
      </c>
      <c r="C10" t="inlineStr">
        <is>
          <t>foundation</t>
        </is>
      </c>
      <c r="D10" s="4" t="inlineStr">
        <is>
          <t>DEPLOYED</t>
        </is>
      </c>
      <c r="E10" t="inlineStr">
        <is>
          <t>CloudTrail log storage</t>
        </is>
      </c>
    </row>
    <row r="11">
      <c r="A11" t="inlineStr">
        <is>
          <t>S3 Bucket</t>
        </is>
      </c>
      <c r="B11" t="inlineStr">
        <is>
          <t>aws_s3_bucket.config</t>
        </is>
      </c>
      <c r="C11" t="inlineStr">
        <is>
          <t>foundation</t>
        </is>
      </c>
      <c r="D11" s="4" t="inlineStr">
        <is>
          <t>DEPLOYED</t>
        </is>
      </c>
      <c r="E11" t="inlineStr">
        <is>
          <t>AWS Config log storage (ready for Config)</t>
        </is>
      </c>
    </row>
    <row r="12">
      <c r="A12" t="inlineStr">
        <is>
          <t>S3 Encryption</t>
        </is>
      </c>
      <c r="B12" t="inlineStr">
        <is>
          <t>cloudtrail SSE-KMS</t>
        </is>
      </c>
      <c r="C12" t="inlineStr">
        <is>
          <t>foundation</t>
        </is>
      </c>
      <c r="D12" s="4" t="inlineStr">
        <is>
          <t>DEPLOYED</t>
        </is>
      </c>
      <c r="E12" t="inlineStr">
        <is>
          <t>Server-side encryption with KMS</t>
        </is>
      </c>
    </row>
    <row r="13">
      <c r="A13" t="inlineStr">
        <is>
          <t>S3 Encryption</t>
        </is>
      </c>
      <c r="B13" t="inlineStr">
        <is>
          <t>config SSE-KMS</t>
        </is>
      </c>
      <c r="C13" t="inlineStr">
        <is>
          <t>foundation</t>
        </is>
      </c>
      <c r="D13" s="4" t="inlineStr">
        <is>
          <t>DEPLOYED</t>
        </is>
      </c>
      <c r="E13" t="inlineStr">
        <is>
          <t>Server-side encryption with KMS</t>
        </is>
      </c>
    </row>
    <row r="14">
      <c r="A14" t="inlineStr">
        <is>
          <t>S3 Versioning</t>
        </is>
      </c>
      <c r="B14" t="inlineStr">
        <is>
          <t>cloudtrail versioning</t>
        </is>
      </c>
      <c r="C14" t="inlineStr">
        <is>
          <t>foundation</t>
        </is>
      </c>
      <c r="D14" s="4" t="inlineStr">
        <is>
          <t>DEPLOYED</t>
        </is>
      </c>
      <c r="E14" t="inlineStr">
        <is>
          <t>Version control for log integrity</t>
        </is>
      </c>
    </row>
    <row r="15">
      <c r="A15" t="inlineStr">
        <is>
          <t>S3 Versioning</t>
        </is>
      </c>
      <c r="B15" t="inlineStr">
        <is>
          <t>config versioning</t>
        </is>
      </c>
      <c r="C15" t="inlineStr">
        <is>
          <t>foundation</t>
        </is>
      </c>
      <c r="D15" s="4" t="inlineStr">
        <is>
          <t>DEPLOYED</t>
        </is>
      </c>
      <c r="E15" t="inlineStr">
        <is>
          <t>Version control for log integrity</t>
        </is>
      </c>
    </row>
    <row r="16">
      <c r="A16" t="inlineStr">
        <is>
          <t>S3 Lifecycle</t>
        </is>
      </c>
      <c r="B16" t="inlineStr">
        <is>
          <t>cloudtrail lifecycle</t>
        </is>
      </c>
      <c r="C16" t="inlineStr">
        <is>
          <t>foundation</t>
        </is>
      </c>
      <c r="D16" s="4" t="inlineStr">
        <is>
          <t>DEPLOYED</t>
        </is>
      </c>
      <c r="E16" t="inlineStr">
        <is>
          <t>Cost optimization (30→90→180→365 days)</t>
        </is>
      </c>
    </row>
    <row r="17">
      <c r="A17" t="inlineStr">
        <is>
          <t>S3 Lifecycle</t>
        </is>
      </c>
      <c r="B17" t="inlineStr">
        <is>
          <t>config lifecycle</t>
        </is>
      </c>
      <c r="C17" t="inlineStr">
        <is>
          <t>foundation</t>
        </is>
      </c>
      <c r="D17" s="4" t="inlineStr">
        <is>
          <t>DEPLOYED</t>
        </is>
      </c>
      <c r="E17" t="inlineStr">
        <is>
          <t>Cost optimization (30→90→180→365 days)</t>
        </is>
      </c>
    </row>
    <row r="18">
      <c r="A18" t="inlineStr">
        <is>
          <t>S3 Security</t>
        </is>
      </c>
      <c r="B18" t="inlineStr">
        <is>
          <t>cloudtrail public access block</t>
        </is>
      </c>
      <c r="C18" t="inlineStr">
        <is>
          <t>foundation</t>
        </is>
      </c>
      <c r="D18" s="4" t="inlineStr">
        <is>
          <t>DEPLOYED</t>
        </is>
      </c>
      <c r="E18" t="inlineStr">
        <is>
          <t>4-layer public access blocking</t>
        </is>
      </c>
    </row>
    <row r="19">
      <c r="A19" t="inlineStr">
        <is>
          <t>S3 Security</t>
        </is>
      </c>
      <c r="B19" t="inlineStr">
        <is>
          <t>config public access block</t>
        </is>
      </c>
      <c r="C19" t="inlineStr">
        <is>
          <t>foundation</t>
        </is>
      </c>
      <c r="D19" s="4" t="inlineStr">
        <is>
          <t>DEPLOYED</t>
        </is>
      </c>
      <c r="E19" t="inlineStr">
        <is>
          <t>4-layer public access blocking</t>
        </is>
      </c>
    </row>
    <row r="20">
      <c r="A20" t="inlineStr">
        <is>
          <t>S3 Policy</t>
        </is>
      </c>
      <c r="B20" t="inlineStr">
        <is>
          <t>cloudtrail bucket policy</t>
        </is>
      </c>
      <c r="C20" t="inlineStr">
        <is>
          <t>foundation</t>
        </is>
      </c>
      <c r="D20" s="4" t="inlineStr">
        <is>
          <t>DEPLOYED</t>
        </is>
      </c>
      <c r="E20" t="inlineStr">
        <is>
          <t>Bucket access control</t>
        </is>
      </c>
    </row>
    <row r="21">
      <c r="A21" t="inlineStr">
        <is>
          <t>S3 Policy</t>
        </is>
      </c>
      <c r="B21" t="inlineStr">
        <is>
          <t>config bucket policy</t>
        </is>
      </c>
      <c r="C21" t="inlineStr">
        <is>
          <t>foundation</t>
        </is>
      </c>
      <c r="D21" s="4" t="inlineStr">
        <is>
          <t>DEPLOYED</t>
        </is>
      </c>
      <c r="E21" t="inlineStr">
        <is>
          <t>Bucket access control</t>
        </is>
      </c>
    </row>
    <row r="22">
      <c r="A22" t="inlineStr">
        <is>
          <t>S3 Ownership</t>
        </is>
      </c>
      <c r="B22" t="inlineStr">
        <is>
          <t>cloudtrail ownership controls</t>
        </is>
      </c>
      <c r="C22" t="inlineStr">
        <is>
          <t>foundation</t>
        </is>
      </c>
      <c r="D22" s="4" t="inlineStr">
        <is>
          <t>DEPLOYED</t>
        </is>
      </c>
      <c r="E22" t="inlineStr">
        <is>
          <t>Bucket owner enforcement</t>
        </is>
      </c>
    </row>
    <row r="23">
      <c r="A23" t="inlineStr">
        <is>
          <t>S3 Ownership</t>
        </is>
      </c>
      <c r="B23" t="inlineStr">
        <is>
          <t>config ownership controls</t>
        </is>
      </c>
      <c r="C23" t="inlineStr">
        <is>
          <t>foundation</t>
        </is>
      </c>
      <c r="D23" s="4" t="inlineStr">
        <is>
          <t>DEPLOYED</t>
        </is>
      </c>
      <c r="E23" t="inlineStr">
        <is>
          <t>Bucket owner enforcement</t>
        </is>
      </c>
    </row>
    <row r="24">
      <c r="A24" t="inlineStr">
        <is>
          <t>CloudTrail</t>
        </is>
      </c>
      <c r="B24" t="inlineStr">
        <is>
          <t>aws_cloudtrail.main</t>
        </is>
      </c>
      <c r="C24" t="inlineStr">
        <is>
          <t>cloudtrail</t>
        </is>
      </c>
      <c r="D24" s="4" t="inlineStr">
        <is>
          <t>DEPLOYED</t>
        </is>
      </c>
      <c r="E24" t="inlineStr">
        <is>
          <t>Multi-region trail capturing IAM events</t>
        </is>
      </c>
    </row>
    <row r="26">
      <c r="A26" s="17" t="inlineStr">
        <is>
          <t>TOTAL DEPLOYED RESOURCES:</t>
        </is>
      </c>
      <c r="B26" s="17" t="inlineStr">
        <is>
          <t>20</t>
        </is>
      </c>
    </row>
    <row r="28">
      <c r="A28" s="9" t="inlineStr">
        <is>
          <t>PENDING DEPLOYMENT (Phase 1):</t>
        </is>
      </c>
    </row>
    <row r="29">
      <c r="A29" t="inlineStr">
        <is>
          <t>AWS Config</t>
        </is>
      </c>
      <c r="B29" t="inlineStr">
        <is>
          <t>aws_config_configuration_recorder</t>
        </is>
      </c>
      <c r="C29" t="inlineStr">
        <is>
          <t>config</t>
        </is>
      </c>
      <c r="D29" s="5" t="inlineStr">
        <is>
          <t>NOT DEPLOYED</t>
        </is>
      </c>
      <c r="E29" t="inlineStr">
        <is>
          <t>Required for compliance checking</t>
        </is>
      </c>
    </row>
    <row r="30">
      <c r="A30" t="inlineStr">
        <is>
          <t>AWS Config</t>
        </is>
      </c>
      <c r="B30" t="inlineStr">
        <is>
          <t>aws_config_delivery_channel</t>
        </is>
      </c>
      <c r="C30" t="inlineStr">
        <is>
          <t>config</t>
        </is>
      </c>
      <c r="D30" s="5" t="inlineStr">
        <is>
          <t>NOT DEPLOYED</t>
        </is>
      </c>
      <c r="E30" t="inlineStr">
        <is>
          <t>Delivers config snapshots to S3</t>
        </is>
      </c>
    </row>
    <row r="31">
      <c r="A31" t="inlineStr">
        <is>
          <t>AWS Config</t>
        </is>
      </c>
      <c r="B31" t="inlineStr">
        <is>
          <t>aws_iam_role (Config)</t>
        </is>
      </c>
      <c r="C31" t="inlineStr">
        <is>
          <t>config</t>
        </is>
      </c>
      <c r="D31" s="5" t="inlineStr">
        <is>
          <t>NOT DEPLOYED</t>
        </is>
      </c>
      <c r="E31" t="inlineStr">
        <is>
          <t>Service role for Config</t>
        </is>
      </c>
    </row>
    <row r="32">
      <c r="A32" t="inlineStr">
        <is>
          <t>AWS Config</t>
        </is>
      </c>
      <c r="B32" t="inlineStr">
        <is>
          <t>aws_config_config_rule (5+ rules)</t>
        </is>
      </c>
      <c r="C32" t="inlineStr">
        <is>
          <t>config</t>
        </is>
      </c>
      <c r="D32" s="5" t="inlineStr">
        <is>
          <t>NOT DEPLOYED</t>
        </is>
      </c>
      <c r="E32" t="inlineStr">
        <is>
          <t>CIS benchmark compliance rules</t>
        </is>
      </c>
    </row>
    <row r="33">
      <c r="A33" t="inlineStr">
        <is>
          <t>IAM Analyzer</t>
        </is>
      </c>
      <c r="B33" t="inlineStr">
        <is>
          <t>aws_accessanalyzer_analyzer</t>
        </is>
      </c>
      <c r="C33" t="inlineStr">
        <is>
          <t>access-analyzer</t>
        </is>
      </c>
      <c r="D33" s="5" t="inlineStr">
        <is>
          <t>NOT DEPLOYED</t>
        </is>
      </c>
      <c r="E33" t="inlineStr">
        <is>
          <t>External access detection</t>
        </is>
      </c>
    </row>
    <row r="34">
      <c r="A34" t="inlineStr">
        <is>
          <t>Security Hub</t>
        </is>
      </c>
      <c r="B34" t="inlineStr">
        <is>
          <t>aws_securityhub_account</t>
        </is>
      </c>
      <c r="C34" t="inlineStr">
        <is>
          <t>security-hub</t>
        </is>
      </c>
      <c r="D34" s="5" t="inlineStr">
        <is>
          <t>NOT DEPLOYED</t>
        </is>
      </c>
      <c r="E34" t="inlineStr">
        <is>
          <t>Security aggregation service</t>
        </is>
      </c>
    </row>
    <row r="35">
      <c r="A35" t="inlineStr">
        <is>
          <t>Security Hub</t>
        </is>
      </c>
      <c r="B35" t="inlineStr">
        <is>
          <t>aws_securityhub_standards_subscription</t>
        </is>
      </c>
      <c r="C35" t="inlineStr">
        <is>
          <t>security-hub</t>
        </is>
      </c>
      <c r="D35" s="5" t="inlineStr">
        <is>
          <t>NOT DEPLOYED</t>
        </is>
      </c>
      <c r="E35" t="inlineStr">
        <is>
          <t>CIS AWS Foundations Benchmark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Normal="100" workbookViewId="0">
      <selection activeCell="G9" sqref="G9"/>
    </sheetView>
  </sheetViews>
  <sheetFormatPr baseColWidth="8" defaultColWidth="8.7109375" defaultRowHeight="15"/>
  <cols>
    <col width="15" customWidth="1" min="1" max="1"/>
    <col width="25" customWidth="1" min="2" max="2"/>
    <col width="60" customWidth="1" min="3" max="3"/>
    <col width="25" customWidth="1" min="4" max="4"/>
  </cols>
  <sheetData>
    <row r="1" ht="17.45" customHeight="1">
      <c r="A1" s="11" t="inlineStr">
        <is>
          <t>Immediate Next Steps to Complete Phase 1</t>
        </is>
      </c>
    </row>
    <row r="4">
      <c r="A4" s="12" t="inlineStr">
        <is>
          <t>Priority</t>
        </is>
      </c>
      <c r="B4" s="12" t="inlineStr">
        <is>
          <t>Task</t>
        </is>
      </c>
      <c r="C4" s="12" t="inlineStr">
        <is>
          <t>Action Items</t>
        </is>
      </c>
      <c r="D4" s="12" t="inlineStr">
        <is>
          <t>Est. Hours</t>
        </is>
      </c>
    </row>
    <row r="5" ht="79.5" customHeight="1">
      <c r="A5" t="inlineStr">
        <is>
          <t>1 - HIGH</t>
        </is>
      </c>
      <c r="B5" t="inlineStr">
        <is>
          <t>Deploy AWS Config Service</t>
        </is>
      </c>
      <c r="C5" s="10" t="inlineStr">
        <is>
          <t>1. Create IAM role for Config
2. Create Config recorder
3. Create delivery channel
4. Start recorder
5. Test with terraform apply</t>
        </is>
      </c>
      <c r="D5" t="inlineStr">
        <is>
          <t>3 hours</t>
        </is>
      </c>
    </row>
    <row r="6" ht="79.5" customHeight="1">
      <c r="A6" t="inlineStr">
        <is>
          <t>2 - HIGH</t>
        </is>
      </c>
      <c r="B6" t="inlineStr">
        <is>
          <t>Deploy AWS Config Rules (5+)</t>
        </is>
      </c>
      <c r="C6" s="10" t="inlineStr">
        <is>
          <t>1. root-account-mfa-enabled
2. iam-password-policy
3. access-keys-rotated
4. iam-user-mfa-enabled
5. cloudtrail-enabled
6. Test rule evaluation</t>
        </is>
      </c>
      <c r="D6" t="inlineStr">
        <is>
          <t>3 hours</t>
        </is>
      </c>
    </row>
    <row r="7" ht="79.5" customHeight="1">
      <c r="A7" t="inlineStr">
        <is>
          <t>3 - MEDIUM</t>
        </is>
      </c>
      <c r="B7" t="inlineStr">
        <is>
          <t>Deploy IAM Access Analyzer</t>
        </is>
      </c>
      <c r="C7" s="10" t="inlineStr">
        <is>
          <t>1. Create analyzer resource
2. Configure for account scope
3. Verify findings generation
4. Test with external access scenario</t>
        </is>
      </c>
      <c r="D7" t="inlineStr">
        <is>
          <t>2 hours</t>
        </is>
      </c>
    </row>
    <row r="8" ht="79.5" customHeight="1">
      <c r="A8" t="inlineStr">
        <is>
          <t>4 - MEDIUM</t>
        </is>
      </c>
      <c r="B8" t="inlineStr">
        <is>
          <t>Deploy Security Hub</t>
        </is>
      </c>
      <c r="C8" s="10" t="inlineStr">
        <is>
          <t>1. Enable Security Hub
2. Enable CIS AWS Foundations Benchmark
3. Integrate with Config
4. Integrate with IAM Access Analyzer
5. Review initial findings</t>
        </is>
      </c>
      <c r="D8" t="inlineStr">
        <is>
          <t>4 hours</t>
        </is>
      </c>
    </row>
    <row r="9" ht="79.5" customHeight="1">
      <c r="A9" t="inlineStr">
        <is>
          <t>5 - MEDIUM</t>
        </is>
      </c>
      <c r="B9" t="inlineStr">
        <is>
          <t>Execute 3 Test Scenarios</t>
        </is>
      </c>
      <c r="C9" s="10" t="inlineStr">
        <is>
          <t>1. Wildcard IAM policy test
2. MFA disable test
3. External access test
4. Measure MTTD for each
5. Document results</t>
        </is>
      </c>
      <c r="D9" t="inlineStr">
        <is>
          <t>4 hours</t>
        </is>
      </c>
    </row>
    <row r="10" ht="79.5" customHeight="1">
      <c r="A10" t="inlineStr">
        <is>
          <t>6 - LOW</t>
        </is>
      </c>
      <c r="B10" t="inlineStr">
        <is>
          <t>Complete Phase 1 Documentation</t>
        </is>
      </c>
      <c r="C10" s="10" t="inlineStr">
        <is>
          <t>1. Finish README.md
2. Create architecture diagram
3. Document all deployed resources
4. Add troubleshooting guide
5. Update DEPLOYMENT-LOG.md</t>
        </is>
      </c>
      <c r="D10" t="inlineStr">
        <is>
          <t>5 hours</t>
        </is>
      </c>
    </row>
    <row r="12">
      <c r="A12" s="17" t="inlineStr">
        <is>
          <t>TOTAL REMAINING EFFORT:</t>
        </is>
      </c>
      <c r="D12" s="17" t="inlineStr">
        <is>
          <t>21 hours</t>
        </is>
      </c>
    </row>
    <row r="14">
      <c r="A14" s="17" t="inlineStr">
        <is>
          <t>ESTIMATED COMPLETION:</t>
        </is>
      </c>
      <c r="C14" s="8" t="inlineStr">
        <is>
          <t>End of Week 4</t>
        </is>
      </c>
      <c r="D14" t="inlineStr">
        <is>
          <t>(On Schedule ✓)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2025-12-20T21:11:44Z</dcterms:created>
  <dcterms:modified xmlns:dcterms="http://purl.org/dc/terms/" xmlns:xsi="http://www.w3.org/2001/XMLSchema-instance" xsi:type="dcterms:W3CDTF">2026-01-20T16:51:58Z</dcterms:modified>
  <cp:revision>0</cp:revision>
</cp:coreProperties>
</file>